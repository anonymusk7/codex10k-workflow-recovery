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077a9293d84e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03d547a8b1844e4"/>
    <x:sheet xmlns:r="http://schemas.openxmlformats.org/officeDocument/2006/relationships" name="Ledger" sheetId="2" r:id="R70270e0187b94dcf"/>
    <x:sheet xmlns:r="http://schemas.openxmlformats.org/officeDocument/2006/relationships" name="Prospects" sheetId="3" r:id="R6ca2d374834b487a"/>
    <x:sheet xmlns:r="http://schemas.openxmlformats.org/officeDocument/2006/relationships" name="Assumptions" sheetId="4" r:id="R0d10a313762c40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63a87428b4ea6" /><Relationship Type="http://schemas.openxmlformats.org/officeDocument/2006/relationships/theme" Target="/xl/theme/theme1.xml" Id="R34ace70165f945e1" /><Relationship Type="http://schemas.openxmlformats.org/officeDocument/2006/relationships/sharedStrings" Target="/xl/sharedStrings.xml" Id="R7d3804a3d47a4ef1" /><Relationship Type="http://schemas.openxmlformats.org/officeDocument/2006/relationships/worksheet" Target="/xl/worksheets/sheet1.xml" Id="R603d547a8b1844e4" /><Relationship Type="http://schemas.openxmlformats.org/officeDocument/2006/relationships/worksheet" Target="/xl/worksheets/sheet2.xml" Id="R70270e0187b94dcf" /><Relationship Type="http://schemas.openxmlformats.org/officeDocument/2006/relationships/worksheet" Target="/xl/worksheets/sheet3.xml" Id="R6ca2d374834b487a" /><Relationship Type="http://schemas.openxmlformats.org/officeDocument/2006/relationships/worksheet" Target="/xl/worksheets/sheet4.xml" Id="R0d10a313762c40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21</x:v>
      </x:c>
    </x:row>
    <x:row r="9">
      <x:c r="A9" t="str">
        <x:v>Interested Prospects</x:v>
      </x:c>
      <x:c r="B9" t="n">
        <x:f>COUNTIF(Prospects!K2:K200,"interested") + COUNTIF(Prospects!K2:K200,"proposal_sent") + COUNTIF(Prospects!K2:K200,"invoice_sent") + COUNTIF(Prospects!K2:K200,"paid")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10-Day Workflow Revenue Recovery Sprint</x:v>
      </x:c>
      <x:c r="K9" t="str">
        <x:v>contacted_fixed_scope</x:v>
      </x:c>
      <x:c r="L9" t="str">
        <x:v>2026-05-09</x:v>
      </x:c>
      <x:c r="M9" t="str">
        <x:v>Watch for reply; if positive, request 2-3 anonymized floor plans and target output format</x:v>
      </x:c>
      <x:c r="N9" t="str">
        <x:v>2026-05-11</x:v>
      </x:c>
      <x:c r="O9" t="str">
        <x:v>gmail:19e08ebf205599ce</x:v>
      </x:c>
      <x:c r="P9" t="str">
        <x:v>Sent fixed-scope milestone offer for upload/extraction/review/output workflow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