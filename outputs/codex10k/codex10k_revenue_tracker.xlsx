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8343ff8458047e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282339bf2b4749ac"/>
    <x:sheet xmlns:r="http://schemas.openxmlformats.org/officeDocument/2006/relationships" name="Ledger" sheetId="2" r:id="R0a277ea2848549dd"/>
    <x:sheet xmlns:r="http://schemas.openxmlformats.org/officeDocument/2006/relationships" name="Prospects" sheetId="3" r:id="R97f6d45bd01f4f77"/>
    <x:sheet xmlns:r="http://schemas.openxmlformats.org/officeDocument/2006/relationships" name="Assumptions" sheetId="4" r:id="Rb7eb411a295b453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>
      <x:sz val="11"/>
      <x:name val="Carlito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 xfId="0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76753b3bde64260" /><Relationship Type="http://schemas.openxmlformats.org/officeDocument/2006/relationships/theme" Target="/xl/theme/theme1.xml" Id="R5bc08aa0fa9a4ef1" /><Relationship Type="http://schemas.openxmlformats.org/officeDocument/2006/relationships/sharedStrings" Target="/xl/sharedStrings.xml" Id="Ra0d115df8dc647db" /><Relationship Type="http://schemas.openxmlformats.org/officeDocument/2006/relationships/worksheet" Target="/xl/worksheets/sheet1.xml" Id="R282339bf2b4749ac" /><Relationship Type="http://schemas.openxmlformats.org/officeDocument/2006/relationships/worksheet" Target="/xl/worksheets/sheet2.xml" Id="R0a277ea2848549dd" /><Relationship Type="http://schemas.openxmlformats.org/officeDocument/2006/relationships/worksheet" Target="/xl/worksheets/sheet3.xml" Id="R97f6d45bd01f4f77" /><Relationship Type="http://schemas.openxmlformats.org/officeDocument/2006/relationships/worksheet" Target="/xl/worksheets/sheet4.xml" Id="Rb7eb411a295b453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sheetData>
    <x:row r="1">
      <x:c r="A1" t="str">
        <x:v>Codex10k Verified Profit Dashboard</x:v>
      </x:c>
      <x:c r="B1" t="str"/>
      <x:c r="C1" t="str"/>
      <x:c r="D1" t="str"/>
      <x:c r="E1" t="str"/>
      <x:c r="F1" t="str"/>
    </x:row>
    <x:row r="3">
      <x:c r="A3" t="str">
        <x:v>Goal</x:v>
      </x:c>
      <x:c r="B3" t="n">
        <x:v>10000</x:v>
      </x:c>
      <x:c r="D3" t="str">
        <x:v>Run Label</x:v>
      </x:c>
      <x:c r="E3" t="str">
        <x:v>Codex10k</x:v>
      </x:c>
      <x:c r="F3" t="str"/>
    </x:row>
    <x:row r="4">
      <x:c r="A4" t="str">
        <x:v>Verified Net Profit</x:v>
      </x:c>
      <x:c r="B4" t="n">
        <x:v>0</x:v>
      </x:c>
      <x:c r="D4" t="str">
        <x:v>Primary Offer</x:v>
      </x:c>
      <x:c r="E4" t="str">
        <x:v>10-Day Workflow Revenue Recovery Sprint</x:v>
      </x:c>
      <x:c r="F4" t="str"/>
    </x:row>
    <x:row r="5">
      <x:c r="A5" t="str">
        <x:v>Remaining</x:v>
      </x:c>
      <x:c r="B5" t="n">
        <x:f>B3-B4</x:f>
        <x:v>10000</x:v>
      </x:c>
      <x:c r="D5" t="str">
        <x:v>Target Close Pattern</x:v>
      </x:c>
      <x:c r="E5" t="str">
        <x:v>2 sprint clients at $6k+ or 3 at $4.8k</x:v>
      </x:c>
      <x:c r="F5" t="str"/>
    </x:row>
    <x:row r="6">
      <x:c r="A6" t="str">
        <x:v>Gross Settled Revenue</x:v>
      </x:c>
      <x:c r="B6" t="n">
        <x:v>0</x:v>
      </x:c>
      <x:c r="D6" t="str">
        <x:v>Payment Evidence</x:v>
      </x:c>
      <x:c r="E6" t="str">
        <x:v>Invoice, transaction ID, payout proof, fee receipt</x:v>
      </x:c>
      <x:c r="F6" t="str"/>
    </x:row>
    <x:row r="7">
      <x:c r="A7" t="str">
        <x:v>Fees + Costs + Refunds</x:v>
      </x:c>
      <x:c r="B7" t="n">
        <x:v>0</x:v>
      </x:c>
      <x:c r="D7" t="str">
        <x:v>Rule</x:v>
      </x:c>
      <x:c r="E7" t="str">
        <x:v>Count settled revenue only</x:v>
      </x:c>
      <x:c r="F7" t="str"/>
    </x:row>
    <x:row r="8">
      <x:c r="A8" t="str">
        <x:v>Qualified Prospects</x:v>
      </x:c>
      <x:c r="B8" t="n">
        <x:f>COUNTIFS(Prospects!K2:K200,"&lt;&gt;initialized",Prospects!K2:K200,"&lt;&gt;hold_employment_style",Prospects!K2:K200,"&lt;&gt;bounced",Prospects!K2:K200,"&lt;&gt;")</x:f>
        <x:v>42</x:v>
      </x:c>
    </x:row>
    <x:row r="9">
      <x:c r="A9" t="str">
        <x:v>Interested Prospects</x:v>
      </x:c>
      <x:c r="B9" t="n">
        <x:f>COUNTIF(Prospects!K2:K200,"interested") + COUNTIF(Prospects!K2:K200,"interested_phase0_sent") + COUNTIF(Prospects!K2:K200,"meeting_proposed_phase0") + COUNTIF(Prospects!K2:K200,"proposal_sent") + COUNTIF(Prospects!K2:K200,"invoice_sent") + COUNTIF(Prospects!K2:K200,"paid")</x:f>
        <x:v>1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sheetData>
    <x:row r="1">
      <x:c r="A1" t="str">
        <x:v>Date</x:v>
      </x:c>
      <x:c r="B1" t="str">
        <x:v>Event ID</x:v>
      </x:c>
      <x:c r="C1" t="str">
        <x:v>Counterparty</x:v>
      </x:c>
      <x:c r="D1" t="str">
        <x:v>Channel</x:v>
      </x:c>
      <x:c r="E1" t="str">
        <x:v>Description</x:v>
      </x:c>
      <x:c r="F1" t="str">
        <x:v>Gross Revenue</x:v>
      </x:c>
      <x:c r="G1" t="str">
        <x:v>Payment Fees</x:v>
      </x:c>
      <x:c r="H1" t="str">
        <x:v>Platform Fees</x:v>
      </x:c>
      <x:c r="I1" t="str">
        <x:v>Direct Costs</x:v>
      </x:c>
      <x:c r="J1" t="str">
        <x:v>Refunds</x:v>
      </x:c>
      <x:c r="K1" t="str">
        <x:v>Net Profit</x:v>
      </x:c>
      <x:c r="L1" t="str">
        <x:v>Status</x:v>
      </x:c>
      <x:c r="M1" t="str">
        <x:v>Transaction ID</x:v>
      </x:c>
      <x:c r="N1" t="str">
        <x:v>Evidence URI</x:v>
      </x:c>
      <x:c r="O1" t="str">
        <x:v>Notes</x:v>
      </x:c>
    </x:row>
    <x:row r="2">
      <x:c r="A2" t="str">
        <x:v>2026-05-08</x:v>
      </x:c>
      <x:c r="B2" t="str">
        <x:v>LEDGER-000</x:v>
      </x:c>
      <x:c r="C2" t="str">
        <x:v>Internal</x:v>
      </x:c>
      <x:c r="D2" t="str">
        <x:v>Workspace</x:v>
      </x:c>
      <x:c r="E2" t="str">
        <x:v>Codex10k ledger initialized</x:v>
      </x:c>
      <x:c r="F2" t="n">
        <x:v>0</x:v>
      </x:c>
      <x:c r="G2" t="n">
        <x:v>0</x:v>
      </x:c>
      <x:c r="H2" t="n">
        <x:v>0</x:v>
      </x:c>
      <x:c r="I2" t="n">
        <x:v>0</x:v>
      </x:c>
      <x:c r="J2" t="n">
        <x:v>0</x:v>
      </x:c>
      <x:c r="K2" t="n">
        <x:f>F2-G2-H2-I2-J2</x:f>
        <x:v>0</x:v>
      </x:c>
      <x:c r="L2" t="str">
        <x:v>initialized</x:v>
      </x:c>
      <x:c r="M2"/>
      <x:c r="N2" t="str">
        <x:v>docs/research.md</x:v>
      </x:c>
      <x:c r="O2" t="str">
        <x:v>No verified revenue yet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sheetData>
    <x:row r="1">
      <x:c r="A1" t="str">
        <x:v>Lead ID</x:v>
      </x:c>
      <x:c r="B1" t="str">
        <x:v>Created</x:v>
      </x:c>
      <x:c r="C1" t="str">
        <x:v>Label Namespace</x:v>
      </x:c>
      <x:c r="D1" t="str">
        <x:v>Company</x:v>
      </x:c>
      <x:c r="E1" t="str">
        <x:v>Contact</x:v>
      </x:c>
      <x:c r="F1" t="str">
        <x:v>Channel</x:v>
      </x:c>
      <x:c r="G1" t="str">
        <x:v>Source URL</x:v>
      </x:c>
      <x:c r="H1" t="str">
        <x:v>Segment</x:v>
      </x:c>
      <x:c r="I1" t="str">
        <x:v>Problem Hypothesis</x:v>
      </x:c>
      <x:c r="J1" t="str">
        <x:v>Offer</x:v>
      </x:c>
      <x:c r="K1" t="str">
        <x:v>Status</x:v>
      </x:c>
      <x:c r="L1" t="str">
        <x:v>Last Touch</x:v>
      </x:c>
      <x:c r="M1" t="str">
        <x:v>Next Action</x:v>
      </x:c>
      <x:c r="N1" t="str">
        <x:v>Follow-up Date</x:v>
      </x:c>
      <x:c r="O1" t="str">
        <x:v>Evidence</x:v>
      </x:c>
      <x:c r="P1" t="str">
        <x:v>Notes</x:v>
      </x:c>
    </x:row>
    <x:row r="2">
      <x:c r="A2" t="str">
        <x:v>C10K-000</x:v>
      </x:c>
      <x:c r="B2" t="str">
        <x:v>2026-05-08</x:v>
      </x:c>
      <x:c r="C2" t="str">
        <x:v>Codex10k</x:v>
      </x:c>
      <x:c r="D2" t="str">
        <x:v>Internal</x:v>
      </x:c>
      <x:c r="E2"/>
      <x:c r="F2"/>
      <x:c r="G2"/>
      <x:c r="H2"/>
      <x:c r="I2" t="str">
        <x:v>Run setup</x:v>
      </x:c>
      <x:c r="J2" t="str">
        <x:v>10-Day Workflow Revenue Recovery Sprint</x:v>
      </x:c>
      <x:c r="K2" t="str">
        <x:v>initialized</x:v>
      </x:c>
      <x:c r="L2" t="str">
        <x:v>2026-05-08</x:v>
      </x:c>
      <x:c r="M2" t="str">
        <x:v>Begin fresh lead sourcing</x:v>
      </x:c>
      <x:c r="N2"/>
      <x:c r="O2" t="str">
        <x:v>docs/research.md</x:v>
      </x:c>
      <x:c r="P2" t="str">
        <x:v>Do not mix with prior Revenue Run labels</x:v>
      </x:c>
    </x:row>
    <x:row r="3">
      <x:c r="A3" t="str">
        <x:v>C10K-001</x:v>
      </x:c>
      <x:c r="B3" t="str">
        <x:v>2026-05-08</x:v>
      </x:c>
      <x:c r="C3" t="str">
        <x:v>Codex10k</x:v>
      </x:c>
      <x:c r="D3" t="str">
        <x:v>Creative Fabrica</x:v>
      </x:c>
      <x:c r="E3"/>
      <x:c r="F3" t="str">
        <x:v>Greenhouse / Reddit</x:v>
      </x:c>
      <x:c r="G3" t="str">
        <x:v>https://job-boards.eu.greenhouse.io/creativefabrica/jobs/4807276101</x:v>
      </x:c>
      <x:c r="H3" t="str">
        <x:v>Ecommerce / marketing ops</x:v>
      </x:c>
      <x:c r="I3" t="str">
        <x:v>Needs AI workflows for email operations, content pipelines, campaign execution, optimization, and HITL governance</x:v>
      </x:c>
      <x:c r="J3" t="str">
        <x:v>Workflow Revenue Recovery Sprint</x:v>
      </x:c>
      <x:c r="K3" t="str">
        <x:v>hold_employment_style</x:v>
      </x:c>
      <x:c r="L3" t="str">
        <x:v>2026-05-08</x:v>
      </x:c>
      <x:c r="M3" t="str">
        <x:v>Do not apply as a job; pursue only if a fixed-scope vendor/project contact path appears</x:v>
      </x:c>
      <x:c r="N3" t="str">
        <x:v>2026-05-09</x:v>
      </x:c>
      <x:c r="O3" t="str">
        <x:v>docs/opportunity-log.md</x:v>
      </x:c>
      <x:c r="P3" t="str">
        <x:v>Recent public job post but requires personal application details and likely employee-style involvement</x:v>
      </x:c>
    </x:row>
    <x:row r="4">
      <x:c r="A4" t="str">
        <x:v>C10K-002</x:v>
      </x:c>
      <x:c r="B4" t="str">
        <x:v>2026-05-08</x:v>
      </x:c>
      <x:c r="C4" t="str">
        <x:v>Codex10k</x:v>
      </x:c>
      <x:c r="D4" t="str">
        <x:v>GCS</x:v>
      </x:c>
      <x:c r="E4" t="str">
        <x:v>mohammed.k@gc-ti.com</x:v>
      </x:c>
      <x:c r="F4" t="str">
        <x:v>Public hiring email</x:v>
      </x:c>
      <x:c r="G4" t="str">
        <x:v>https://community.n8n.io/t/hiring-we-are-looking-for-a-n8n-automation-expert-to-build-ai-agent-workflows-freelance/132551</x:v>
      </x:c>
      <x:c r="H4" t="str">
        <x:v>AI workflow / document automation</x:v>
      </x:c>
      <x:c r="I4" t="str">
        <x:v>Asked for n8n multi-agent workflow developer to ingest and analyze documents and generate downstream AI prompts</x:v>
      </x:c>
      <x:c r="J4" t="str">
        <x:v>10-Day Workflow Revenue Recovery Sprint</x:v>
      </x:c>
      <x:c r="K4" t="str">
        <x:v>contacted_fixed_scope</x:v>
      </x:c>
      <x:c r="L4" t="str">
        <x:v>2026-05-08</x:v>
      </x:c>
      <x:c r="M4" t="str">
        <x:v>Watch for reply; if positive, request anonymized sample docs and scope paid triage</x:v>
      </x:c>
      <x:c r="N4" t="str">
        <x:v>2026-05-10</x:v>
      </x:c>
      <x:c r="O4" t="str">
        <x:v>gmail:19e08e71637b72c1</x:v>
      </x:c>
      <x:c r="P4" t="str">
        <x:v>Clarified this is not employment; Codex10k offers a done-for-you fixed-scope build</x:v>
      </x:c>
    </x:row>
    <x:row r="5">
      <x:c r="A5" t="str">
        <x:v>C10K-003</x:v>
      </x:c>
      <x:c r="B5" t="str">
        <x:v>2026-05-08</x:v>
      </x:c>
      <x:c r="C5" t="str">
        <x:v>Codex10k</x:v>
      </x:c>
      <x:c r="D5" t="str">
        <x:v>Talents Team</x:v>
      </x:c>
      <x:c r="E5"/>
      <x:c r="F5" t="str">
        <x:v>Make Community</x:v>
      </x:c>
      <x:c r="G5" t="str">
        <x:v>https://community.make.com/t/hiring-make-com-http-make-com-automation-engineer-contract-part-time/103508</x:v>
      </x:c>
      <x:c r="H5" t="str">
        <x:v>Automation contractor</x:v>
      </x:c>
      <x:c r="I5" t="str">
        <x:v>Needs Make scenarios, routers, scheduling, error handling, APIs, data mapping, docs, troubleshooting</x:v>
      </x:c>
      <x:c r="J5" t="str">
        <x:v>Workflow Triage</x:v>
      </x:c>
      <x:c r="K5" t="str">
        <x:v>qualified</x:v>
      </x:c>
      <x:c r="L5" t="str">
        <x:v>2026-05-08</x:v>
      </x:c>
      <x:c r="M5" t="str">
        <x:v>Apply via Make Community DM if account access is available</x:v>
      </x:c>
      <x:c r="N5" t="str">
        <x:v>2026-05-09</x:v>
      </x:c>
      <x:c r="O5" t="str">
        <x:v>docs/opportunity-log.md</x:v>
      </x:c>
      <x:c r="P5" t="str">
        <x:v>No direct email visible; avoid scraping or bypassing platform</x:v>
      </x:c>
    </x:row>
    <x:row r="6">
      <x:c r="A6" t="str">
        <x:v>C10K-004</x:v>
      </x:c>
      <x:c r="B6" t="str">
        <x:v>2026-05-08</x:v>
      </x:c>
      <x:c r="C6" t="str">
        <x:v>Codex10k</x:v>
      </x:c>
      <x:c r="D6" t="str">
        <x:v>Creative Fabrica Reddit poster</x:v>
      </x:c>
      <x:c r="E6"/>
      <x:c r="F6" t="str">
        <x:v>Reddit</x:v>
      </x:c>
      <x:c r="G6" t="str">
        <x:v>https://www.reddit.com/r/n8n/comments/1t49b3r/hiring_ai_marketing_specialist_agentic_ai/</x:v>
      </x:c>
      <x:c r="H6" t="str">
        <x:v>B2C marketing automation</x:v>
      </x:c>
      <x:c r="I6" t="str">
        <x:v>Poster confirmed freelancers may be considered if similar timezone and experience at needed scale</x:v>
      </x:c>
      <x:c r="J6" t="str">
        <x:v>Workflow Triage</x:v>
      </x:c>
      <x:c r="K6" t="str">
        <x:v>hold_employment_style</x:v>
      </x:c>
      <x:c r="L6" t="str">
        <x:v>2026-05-08</x:v>
      </x:c>
      <x:c r="M6" t="str">
        <x:v>Do not apply as job; only pursue if vendor/project path appears</x:v>
      </x:c>
      <x:c r="N6" t="str">
        <x:v>2026-05-09</x:v>
      </x:c>
      <x:c r="O6" t="str">
        <x:v>docs/opportunity-log.md</x:v>
      </x:c>
      <x:c r="P6" t="str">
        <x:v>Do not message via bots or scraped contact data</x:v>
      </x:c>
    </x:row>
    <x:row r="7">
      <x:c r="A7" t="str">
        <x:v>C10K-005</x:v>
      </x:c>
      <x:c r="B7" t="str">
        <x:v>2026-05-09</x:v>
      </x:c>
      <x:c r="C7" t="str">
        <x:v>Codex10k</x:v>
      </x:c>
      <x:c r="D7" t="str">
        <x:v>Callee AI Solutions</x:v>
      </x:c>
      <x:c r="E7" t="str">
        <x:v>CalleeAIsolutions@gmail.com</x:v>
      </x:c>
      <x:c r="F7" t="str">
        <x:v>Skool public post</x:v>
      </x:c>
      <x:c r="G7" t="str">
        <x:v>https://www.skool.com/brendan/hiring-n8n-automation-engineer</x:v>
      </x:c>
      <x:c r="H7" t="str">
        <x:v>Voice AI agency automation</x:v>
      </x:c>
      <x:c r="I7" t="str">
        <x:v>Agency has client surge and needs n8n/API automation layer for bookings, outreach, lead gen, and internal ops</x:v>
      </x:c>
      <x:c r="J7" t="str">
        <x:v>10-Day Workflow Revenue Recovery Sprint</x:v>
      </x:c>
      <x:c r="K7" t="str">
        <x:v>contacted_fixed_scope</x:v>
      </x:c>
      <x:c r="L7" t="str">
        <x:v>2026-05-09</x:v>
      </x:c>
      <x:c r="M7" t="str">
        <x:v>Watch for reply; if positive, request anonymized input/output and scope paid milestone</x:v>
      </x:c>
      <x:c r="N7" t="str">
        <x:v>2026-05-11</x:v>
      </x:c>
      <x:c r="O7" t="str">
        <x:v>gmail:19e08eb2da5715f2</x:v>
      </x:c>
      <x:c r="P7" t="str">
        <x:v>Sent done-for-you fixed-scope build offer; no employee-role framing</x:v>
      </x:c>
    </x:row>
    <x:row r="8">
      <x:c r="A8" t="str">
        <x:v>C10K-006</x:v>
      </x:c>
      <x:c r="B8" t="str">
        <x:v>2026-05-09</x:v>
      </x:c>
      <x:c r="C8" t="str">
        <x:v>Codex10k</x:v>
      </x:c>
      <x:c r="D8" t="str">
        <x:v>Strive Digital</x:v>
      </x:c>
      <x:c r="E8" t="str">
        <x:v>bruno@strive-digital.com</x:v>
      </x:c>
      <x:c r="F8" t="str">
        <x:v>LinkedIn public post</x:v>
      </x:c>
      <x:c r="G8" t="str">
        <x:v>https://br.linkedin.com/company/strivedigitall</x:v>
      </x:c>
      <x:c r="H8" t="str">
        <x:v>Outbound lead-gen / data ops</x:v>
      </x:c>
      <x:c r="I8" t="str">
        <x:v>Needs main database plus per-client sheet workflow with duplicate prevention and client-specific statuses</x:v>
      </x:c>
      <x:c r="J8" t="str">
        <x:v>10-Day Workflow Revenue Recovery Sprint</x:v>
      </x:c>
      <x:c r="K8" t="str">
        <x:v>contacted_fixed_scope</x:v>
      </x:c>
      <x:c r="L8" t="str">
        <x:v>2026-05-09</x:v>
      </x:c>
      <x:c r="M8" t="str">
        <x:v>Watch for reply; if positive, request anonymized main DB and 2 client sheets</x:v>
      </x:c>
      <x:c r="N8" t="str">
        <x:v>2026-05-11</x:v>
      </x:c>
      <x:c r="O8" t="str">
        <x:v>gmail:19e08eb918b791a3</x:v>
      </x:c>
      <x:c r="P8" t="str">
        <x:v>Sent fixed-scope project proposal around their exact data synchronization problem</x:v>
      </x:c>
    </x:row>
    <x:row r="9">
      <x:c r="A9" t="str">
        <x:v>C10K-007</x:v>
      </x:c>
      <x:c r="B9" t="str">
        <x:v>2026-05-09</x:v>
      </x:c>
      <x:c r="C9" t="str">
        <x:v>Codex10k</x:v>
      </x:c>
      <x:c r="D9" t="str">
        <x:v>Bluestork AI / BygAI.dk</x:v>
      </x:c>
      <x:c r="E9" t="str">
        <x:v>contact.bluestork.ai@gmail.com</x:v>
      </x:c>
      <x:c r="F9" t="str">
        <x:v>Reddit public post / inbound Gmail</x:v>
      </x:c>
      <x:c r="G9" t="str">
        <x:v>https://bygai.dk</x:v>
      </x:c>
      <x:c r="H9" t="str">
        <x:v>Computer-vision automation lift for floor-plan measurement</x:v>
      </x:c>
      <x:c r="I9" t="str">
        <x:v>Buyer says BygAI.dk already has a semi-automatic solution for AI-driven floor-plan measurement to painter quote, but further computer-vision automation may be valuable; prior DTU master's student work did not generalize consistently across varied plans</x:v>
      </x:c>
      <x:c r="J9" t="str">
        <x:v>Paid computer-vision feasibility milestone</x:v>
      </x:c>
      <x:c r="K9" t="str">
        <x:v>meeting_proposed_phase0</x:v>
      </x:c>
      <x:c r="L9" t="str">
        <x:v>2026-05-09</x:v>
      </x:c>
      <x:c r="M9" t="str">
        <x:v>Wait for meeting window or link; if they engage, convert call into USD 1200 paid Phase 0 around current BygAI bottleneck and 2 anonymized examples</x:v>
      </x:c>
      <x:c r="N9" t="str">
        <x:v>2026-05-10</x:v>
      </x:c>
      <x:c r="O9" t="str">
        <x:v>gmail:19e091525a4d297b; gmail:19e0916f642c7360; gmail:19e09217059048e0; gmail:19e0923670fd29ae; gmail:19e0924dd475b380</x:v>
      </x:c>
      <x:c r="P9" t="str">
        <x:v>Inbound reply corrected scope: existing semi-automatic product at BygAI.dk and interest only if computer vision can automate further; sent realistic meeting reply with no full-generalization promise and two Monday CEST windows</x:v>
      </x:c>
    </x:row>
    <x:row r="10">
      <x:c r="A10" t="str">
        <x:v>C10K-008</x:v>
      </x:c>
      <x:c r="B10" t="str">
        <x:v>2026-05-09</x:v>
      </x:c>
      <x:c r="C10" t="str">
        <x:v>Codex10k</x:v>
      </x:c>
      <x:c r="D10" t="str">
        <x:v>Shilling Strategy Consulting</x:v>
      </x:c>
      <x:c r="E10" t="str">
        <x:v>keerthivasan@shillingstrategyconsulting.com</x:v>
      </x:c>
      <x:c r="F10" t="str">
        <x:v>LinkedIn public post</x:v>
      </x:c>
      <x:c r="G10" t="str">
        <x:v>https://in.linkedin.com/company/shilling-strategy-consulting-ssc</x:v>
      </x:c>
      <x:c r="H10" t="str">
        <x:v>Consulting / workflow automation</x:v>
      </x:c>
      <x:c r="I10" t="str">
        <x:v>Public post asked for N8N automation freelancer with workflow integrations and scalable automation systems</x:v>
      </x:c>
      <x:c r="J10" t="str">
        <x:v>10-Day Workflow Revenue Recovery Sprint</x:v>
      </x:c>
      <x:c r="K10" t="str">
        <x:v>contacted_fixed_scope</x:v>
      </x:c>
      <x:c r="L10" t="str">
        <x:v>2026-05-09</x:v>
      </x:c>
      <x:c r="M10" t="str">
        <x:v>Watch for reply; if positive, request one workflow plus 5-10 sample records/screenshots</x:v>
      </x:c>
      <x:c r="N10" t="str">
        <x:v>2026-05-11</x:v>
      </x:c>
      <x:c r="O10" t="str">
        <x:v>gmail:19e08ec44f776529</x:v>
      </x:c>
      <x:c r="P10" t="str">
        <x:v>Sent done-for-you fixed-scope build offer with demo link</x:v>
      </x:c>
    </x:row>
    <x:row r="11">
      <x:c r="A11" t="str">
        <x:v>C10K-009</x:v>
      </x:c>
      <x:c r="B11" t="str">
        <x:v>2026-05-09</x:v>
      </x:c>
      <x:c r="C11" t="str">
        <x:v>Codex10k</x:v>
      </x:c>
      <x:c r="D11" t="str">
        <x:v>RestaurantFlow OS</x:v>
      </x:c>
      <x:c r="E11" t="str">
        <x:v>heldermiranda96@gmail.com</x:v>
      </x:c>
      <x:c r="F11" t="str">
        <x:v>n8n Community public post</x:v>
      </x:c>
      <x:c r="G11" t="str">
        <x:v>https://community.n8n.io/t/hiring-automation-engineer-wanted-n8n-core-role-restaurant-tech-startup/292053</x:v>
      </x:c>
      <x:c r="H11" t="str">
        <x:v>Restaurant revenue automation</x:v>
      </x:c>
      <x:c r="I11" t="str">
        <x:v>Needs production n8n workflows for OpenTable/SevenRooms booking data, Supabase, GHL, Printnode, multi-tenant idempotency, HMAC validation, and error handling</x:v>
      </x:c>
      <x:c r="J11" t="str">
        <x:v>Fixed-scope RestaurantFlow workflow build</x:v>
      </x:c>
      <x:c r="K11" t="str">
        <x:v>contacted_fixed_scope</x:v>
      </x:c>
      <x:c r="L11" t="str">
        <x:v>2026-05-09</x:v>
      </x:c>
      <x:c r="M11" t="str">
        <x:v>Watch for reply; if positive, request smallest workflow group, payload examples, and Supabase table shape</x:v>
      </x:c>
      <x:c r="N11" t="str">
        <x:v>2026-05-11</x:v>
      </x:c>
      <x:c r="O11" t="str">
        <x:v>gmail:19e08f2811f81844</x:v>
      </x:c>
      <x:c r="P11" t="str">
        <x:v>Sent USD 2500 fixed first-workflow-group offer; framed around test environment and acceptance checks</x:v>
      </x:c>
    </x:row>
    <x:row r="12">
      <x:c r="A12" t="str">
        <x:v>C10K-010</x:v>
      </x:c>
      <x:c r="B12" t="str">
        <x:v>2026-05-09</x:v>
      </x:c>
      <x:c r="C12" t="str">
        <x:v>Codex10k</x:v>
      </x:c>
      <x:c r="D12" t="str">
        <x:v>SPAudio</x:v>
      </x:c>
      <x:c r="E12" t="str">
        <x:v>tech@spaudio.it</x:v>
      </x:c>
      <x:c r="F12" t="str">
        <x:v>n8n Community public post</x:v>
      </x:c>
      <x:c r="G12" t="str">
        <x:v>https://community.n8n.io/t/seeking-experienced-freelance-n8n-automation-expert/207669</x:v>
      </x:c>
      <x:c r="H12" t="str">
        <x:v>Audio / operational automation</x:v>
      </x:c>
      <x:c r="I12" t="str">
        <x:v>Needs freelance support for self-hosted n8n setup, production workflows, complex API integrations, daily support, and optimization</x:v>
      </x:c>
      <x:c r="J12" t="str">
        <x:v>n8n stabilization sprint</x:v>
      </x:c>
      <x:c r="K12" t="str">
        <x:v>bounced</x:v>
      </x:c>
      <x:c r="L12" t="str">
        <x:v>2026-05-09</x:v>
      </x:c>
      <x:c r="M12" t="str">
        <x:v>Do not retry tech@spaudio.it; find alternate official SPAudio contact only if public and relevant</x:v>
      </x:c>
      <x:c r="N12"/>
      <x:c r="O12" t="str">
        <x:v>gmail:19e08f2ac74d0895</x:v>
      </x:c>
      <x:c r="P12" t="str">
        <x:v>Original send gmail:19e08f2a422b2929 bounced with 550 5.1.1 address not found</x:v>
      </x:c>
    </x:row>
    <x:row r="13">
      <x:c r="A13" t="str">
        <x:v>C10K-011</x:v>
      </x:c>
      <x:c r="B13" t="str">
        <x:v>2026-05-09</x:v>
      </x:c>
      <x:c r="C13" t="str">
        <x:v>Codex10k</x:v>
      </x:c>
      <x:c r="D13" t="str">
        <x:v>PristinePro Technologies</x:v>
      </x:c>
      <x:c r="E13" t="str">
        <x:v>careers@pristineprotech.com</x:v>
      </x:c>
      <x:c r="F13" t="str">
        <x:v>Reddit public post / company site</x:v>
      </x:c>
      <x:c r="G13" t="str">
        <x:v>https://www.reddit.com/r/n8n/comments/1p03o0g/looking_for_n8n_developer_with_2_years_of/</x:v>
      </x:c>
      <x:c r="H13" t="str">
        <x:v>AI automation consultancy</x:v>
      </x:c>
      <x:c r="I13" t="str">
        <x:v>Public post asked for n8n AI agent help; company site shows AI automation work around transcription, media processing, and document updates</x:v>
      </x:c>
      <x:c r="J13" t="str">
        <x:v>Fixed-scope n8n AI agent build</x:v>
      </x:c>
      <x:c r="K13" t="str">
        <x:v>contacted_fixed_scope</x:v>
      </x:c>
      <x:c r="L13" t="str">
        <x:v>2026-05-09</x:v>
      </x:c>
      <x:c r="M13" t="str">
        <x:v>Watch for reply; if positive, request one workflow and 5-10 anonymized sample records/screenshots</x:v>
      </x:c>
      <x:c r="N13" t="str">
        <x:v>2026-05-11</x:v>
      </x:c>
      <x:c r="O13" t="str">
        <x:v>gmail:19e08f2c2d25180a</x:v>
      </x:c>
      <x:c r="P13" t="str">
        <x:v>Sent USD 1500-2500 fixed workflow offer; no employee-role framing</x:v>
      </x:c>
    </x:row>
    <x:row r="14">
      <x:c r="A14" t="str">
        <x:v>C10K-012</x:v>
      </x:c>
      <x:c r="B14" t="str">
        <x:v>2026-05-09</x:v>
      </x:c>
      <x:c r="C14" t="str">
        <x:v>Codex10k</x:v>
      </x:c>
      <x:c r="D14" t="str">
        <x:v>Noevo</x:v>
      </x:c>
      <x:c r="E14" t="str">
        <x:v>io@noevo.io</x:v>
      </x:c>
      <x:c r="F14" t="str">
        <x:v>LinkedIn public post / company site</x:v>
      </x:c>
      <x:c r="G14" t="str">
        <x:v>https://lk.linkedin.com/jobs/view/n8n-%2B-ai-automation-assistant-part-time-at-noevo-io-4347043760</x:v>
      </x:c>
      <x:c r="H14" t="str">
        <x:v>EdTech operations automation</x:v>
      </x:c>
      <x:c r="I14" t="str">
        <x:v>Public posting described n8n and AI automation needs for AI-powered student counselor platform; site shows application support and document checklist workflows</x:v>
      </x:c>
      <x:c r="J14" t="str">
        <x:v>Fixed-scope Noevo operations workflow build</x:v>
      </x:c>
      <x:c r="K14" t="str">
        <x:v>contacted_fixed_scope</x:v>
      </x:c>
      <x:c r="L14" t="str">
        <x:v>2026-05-09</x:v>
      </x:c>
      <x:c r="M14" t="str">
        <x:v>Watch for reply; if positive, request one workflow and anonymized input/output examples</x:v>
      </x:c>
      <x:c r="N14" t="str">
        <x:v>2026-05-11</x:v>
      </x:c>
      <x:c r="O14" t="str">
        <x:v>gmail:19e08f2e136045e9</x:v>
      </x:c>
      <x:c r="P14" t="str">
        <x:v>Sent USD 1500 fixed workflow offer for intake, checklist, routing, reminders, or reporting</x:v>
      </x:c>
    </x:row>
    <x:row r="15">
      <x:c r="A15" t="str">
        <x:v>C10K-013</x:v>
      </x:c>
      <x:c r="B15" t="str">
        <x:v>2026-05-09</x:v>
      </x:c>
      <x:c r="C15" t="str">
        <x:v>Codex10k</x:v>
      </x:c>
      <x:c r="D15" t="str">
        <x:v>MJBLAW</x:v>
      </x:c>
      <x:c r="E15" t="str">
        <x:v>jshenkar@bernllp.com</x:v>
      </x:c>
      <x:c r="F15" t="str">
        <x:v>n8n Community public post</x:v>
      </x:c>
      <x:c r="G15" t="str">
        <x:v>https://community.n8n.io/t/law-firm-is-looking-for-fractional-support-in-n8n/264725</x:v>
      </x:c>
      <x:c r="H15" t="str">
        <x:v>Legal operations automation</x:v>
      </x:c>
      <x:c r="I15" t="str">
        <x:v>Law firm asked for fractional support developing and maintaining Monday.com workflows, n8n automations, operational efficiency, and integration projects</x:v>
      </x:c>
      <x:c r="J15" t="str">
        <x:v>Fixed-scope Monday.com + n8n legal-ops workflow</x:v>
      </x:c>
      <x:c r="K15" t="str">
        <x:v>contacted_fixed_scope</x:v>
      </x:c>
      <x:c r="L15" t="str">
        <x:v>2026-05-09</x:v>
      </x:c>
      <x:c r="M15" t="str">
        <x:v>Watch for reply; if positive, request one manual/fragile workflow, Monday.com board structure, and anonymized records</x:v>
      </x:c>
      <x:c r="N15" t="str">
        <x:v>2026-05-11</x:v>
      </x:c>
      <x:c r="O15" t="str">
        <x:v>gmail:19e08fa5b32c3037</x:v>
      </x:c>
      <x:c r="P15" t="str">
        <x:v>Sent USD 1500-2500 fixed one-workflow offer with confidentiality and data-minimization framing</x:v>
      </x:c>
    </x:row>
    <x:row r="16">
      <x:c r="A16" t="str">
        <x:v>C10K-014</x:v>
      </x:c>
      <x:c r="B16" t="str">
        <x:v>2026-05-09</x:v>
      </x:c>
      <x:c r="C16" t="str">
        <x:v>Codex10k</x:v>
      </x:c>
      <x:c r="D16" t="str">
        <x:v>BoviC</x:v>
      </x:c>
      <x:c r="E16" t="str">
        <x:v>borhanovic11@gmail.com</x:v>
      </x:c>
      <x:c r="F16" t="str">
        <x:v>n8n Community public post</x:v>
      </x:c>
      <x:c r="G16" t="str">
        <x:v>https://community.n8n.io/t/looking-for-n8n-expert-accounting-automation-saudi-vat/264293</x:v>
      </x:c>
      <x:c r="H16" t="str">
        <x:v>Accounting automation</x:v>
      </x:c>
      <x:c r="I16" t="str">
        <x:v>Asked for n8n expert to build Saudi VAT accounting automation system</x:v>
      </x:c>
      <x:c r="J16" t="str">
        <x:v>Fixed-scope accounting ingestion-to-review workflow</x:v>
      </x:c>
      <x:c r="K16" t="str">
        <x:v>contacted_fixed_scope</x:v>
      </x:c>
      <x:c r="L16" t="str">
        <x:v>2026-05-09</x:v>
      </x:c>
      <x:c r="M16" t="str">
        <x:v>Watch for reply; if positive, require approved VAT rules, anonymized samples, and explicit no tax/legal advice boundary</x:v>
      </x:c>
      <x:c r="N16" t="str">
        <x:v>2026-05-11</x:v>
      </x:c>
      <x:c r="O16" t="str">
        <x:v>gmail:19e08fa8fbc3903d</x:v>
      </x:c>
      <x:c r="P16" t="str">
        <x:v>Sent USD 2500 fixed technical automation milestone; stated Codex will not certify tax/ZATCA compliance</x:v>
      </x:c>
    </x:row>
    <x:row r="17">
      <x:c r="A17" t="str">
        <x:v>C10K-015</x:v>
      </x:c>
      <x:c r="B17" t="str">
        <x:v>2026-05-09</x:v>
      </x:c>
      <x:c r="C17" t="str">
        <x:v>Codex10k</x:v>
      </x:c>
      <x:c r="D17" t="str">
        <x:v>El Wong AI startup</x:v>
      </x:c>
      <x:c r="E17" t="str">
        <x:v>elwongyvr@gmail.com</x:v>
      </x:c>
      <x:c r="F17" t="str">
        <x:v>n8n Community public post</x:v>
      </x:c>
      <x:c r="G17" t="str">
        <x:v>https://community.n8n.io/t/now-hiring-operations-pm-for-ai-startup/294087</x:v>
      </x:c>
      <x:c r="H17" t="str">
        <x:v>Startup operations automation</x:v>
      </x:c>
      <x:c r="I17" t="str">
        <x:v>Fast-growing AI startup needs delivery, onboarding, team coordination, process docs, systems audits, and implementation plans around Notion, Airtable, and ClickUp</x:v>
      </x:c>
      <x:c r="J17" t="str">
        <x:v>Fixed-scope ops workflow build</x:v>
      </x:c>
      <x:c r="K17" t="str">
        <x:v>contacted_fixed_scope</x:v>
      </x:c>
      <x:c r="L17" t="str">
        <x:v>2026-05-09</x:v>
      </x:c>
      <x:c r="M17" t="str">
        <x:v>Watch for reply; if positive, request one onboarding/delivery workflow and anonymized input/output examples</x:v>
      </x:c>
      <x:c r="N17" t="str">
        <x:v>2026-05-11</x:v>
      </x:c>
      <x:c r="O17" t="str">
        <x:v>gmail:19e08faaff62fd56</x:v>
      </x:c>
      <x:c r="P17" t="str">
        <x:v>Sent USD 1500 fixed implementation slice offer; explicitly not a full-time PM application</x:v>
      </x:c>
    </x:row>
    <x:row r="18">
      <x:c r="A18" t="str">
        <x:v>C10K-016</x:v>
      </x:c>
      <x:c r="B18" t="str">
        <x:v>2026-05-09</x:v>
      </x:c>
      <x:c r="C18" t="str">
        <x:v>Codex10k</x:v>
      </x:c>
      <x:c r="D18" t="str">
        <x:v>Aditya Das AI agency</x:v>
      </x:c>
      <x:c r="E18" t="str">
        <x:v>aditya.das.own@gmail.com</x:v>
      </x:c>
      <x:c r="F18" t="str">
        <x:v>Skool public post</x:v>
      </x:c>
      <x:c r="G18" t="str">
        <x:v>https://www.skool.com/%40aditya-das-5910?g=ai-automation-society</x:v>
      </x:c>
      <x:c r="H18" t="str">
        <x:v>AI agency / voice + CRM automation</x:v>
      </x:c>
      <x:c r="I18" t="str">
        <x:v>Recent post asked for a single long-term n8n, Vapi, and GoHighLevel partner with live project proof</x:v>
      </x:c>
      <x:c r="J18" t="str">
        <x:v>Fixed-scope n8n/Vapi/GHL workflow build</x:v>
      </x:c>
      <x:c r="K18" t="str">
        <x:v>contacted_fixed_scope</x:v>
      </x:c>
      <x:c r="L18" t="str">
        <x:v>2026-05-09</x:v>
      </x:c>
      <x:c r="M18" t="str">
        <x:v>Watch for reply; if positive, request one client workflow, current GHL/Vapi stack, and sample payloads</x:v>
      </x:c>
      <x:c r="N18" t="str">
        <x:v>2026-05-11</x:v>
      </x:c>
      <x:c r="O18" t="str">
        <x:v>gmail:19e09038c416fd10</x:v>
      </x:c>
      <x:c r="P18" t="str">
        <x:v>Sent USD 1800 fixed first workflow group offer; framed as implementation partner, not employee application</x:v>
      </x:c>
    </x:row>
    <x:row r="19">
      <x:c r="A19" t="str">
        <x:v>C10K-017</x:v>
      </x:c>
      <x:c r="B19" t="str">
        <x:v>2026-05-09</x:v>
      </x:c>
      <x:c r="C19" t="str">
        <x:v>Codex10k</x:v>
      </x:c>
      <x:c r="D19" t="str">
        <x:v>Mattia Tessaro / AI products</x:v>
      </x:c>
      <x:c r="E19" t="str">
        <x:v>ecomaichatbot@gmail.com</x:v>
      </x:c>
      <x:c r="F19" t="str">
        <x:v>Skool public post</x:v>
      </x:c>
      <x:c r="G19" t="str">
        <x:v>https://www.skool.com/ai-automation-society/were-hiring-freelance-ai-developer-start-immediately-2?p=1c7ac68c</x:v>
      </x:c>
      <x:c r="H19" t="str">
        <x:v>AI product / chatbot automation</x:v>
      </x:c>
      <x:c r="I19" t="str">
        <x:v>Post requested a freelance AI developer for custom chatbots, AI agents, n8n or Voiceflow workflows, and practical shipped proof</x:v>
      </x:c>
      <x:c r="J19" t="str">
        <x:v>Fixed-scope AI agent or n8n task build</x:v>
      </x:c>
      <x:c r="K19" t="str">
        <x:v>contacted_fixed_scope</x:v>
      </x:c>
      <x:c r="L19" t="str">
        <x:v>2026-05-09</x:v>
      </x:c>
      <x:c r="M19" t="str">
        <x:v>Watch for reply; if positive, ask for one task, target stack, and definition of done</x:v>
      </x:c>
      <x:c r="N19" t="str">
        <x:v>2026-05-11</x:v>
      </x:c>
      <x:c r="O19" t="str">
        <x:v>gmail:19e0903b1170799f</x:v>
      </x:c>
      <x:c r="P19" t="str">
        <x:v>Sent USD 1200-1800 fixed first task offer with demo link</x:v>
      </x:c>
    </x:row>
    <x:row r="20">
      <x:c r="A20" t="str">
        <x:v>C10K-018</x:v>
      </x:c>
      <x:c r="B20" t="str">
        <x:v>2026-05-09</x:v>
      </x:c>
      <x:c r="C20" t="str">
        <x:v>Codex10k</x:v>
      </x:c>
      <x:c r="D20" t="str">
        <x:v>Krishna Aggarwal</x:v>
      </x:c>
      <x:c r="E20" t="str">
        <x:v>talktokrishna321@gmail.com</x:v>
      </x:c>
      <x:c r="F20" t="str">
        <x:v>Skool public post</x:v>
      </x:c>
      <x:c r="G20" t="str">
        <x:v>https://www.skool.com/%40f2fb6908044349598d33f95bdad887f1?g=5minai-2861</x:v>
      </x:c>
      <x:c r="H20" t="str">
        <x:v>AI workflow collaboration</x:v>
      </x:c>
      <x:c r="I20" t="str">
        <x:v>Public post asked for a n8n developer to collaborate on smart automations and AI-powered workflows; profile is recently active</x:v>
      </x:c>
      <x:c r="J20" t="str">
        <x:v>Fixed-scope n8n automation collaboration</x:v>
      </x:c>
      <x:c r="K20" t="str">
        <x:v>contacted_fixed_scope</x:v>
      </x:c>
      <x:c r="L20" t="str">
        <x:v>2026-05-09</x:v>
      </x:c>
      <x:c r="M20" t="str">
        <x:v>Watch for reply; if positive, request apps involved, current manual steps, and desired output</x:v>
      </x:c>
      <x:c r="N20" t="str">
        <x:v>2026-05-11</x:v>
      </x:c>
      <x:c r="O20" t="str">
        <x:v>gmail:19e0903cedbdd1bf</x:v>
      </x:c>
      <x:c r="P20" t="str">
        <x:v>Sent USD 1200-2000 fixed workflow group offer</x:v>
      </x:c>
    </x:row>
    <x:row r="21">
      <x:c r="A21" t="str">
        <x:v>C10K-019</x:v>
      </x:c>
      <x:c r="B21" t="str">
        <x:v>2026-05-09</x:v>
      </x:c>
      <x:c r="C21" t="str">
        <x:v>Codex10k</x:v>
      </x:c>
      <x:c r="D21" t="str">
        <x:v>Peernation / KnowledgeIQ</x:v>
      </x:c>
      <x:c r="E21" t="str">
        <x:v>bob@peernation.co</x:v>
      </x:c>
      <x:c r="F21" t="str">
        <x:v>n8n Community public post</x:v>
      </x:c>
      <x:c r="G21" t="str">
        <x:v>https://community.n8n.io/t/looking-for-experience-n8n-builder-1-to-2-years-experience/245570</x:v>
      </x:c>
      <x:c r="H21" t="str">
        <x:v>Platform workflow automation</x:v>
      </x:c>
      <x:c r="I21" t="str">
        <x:v>Public n8n post asked builders to email Bob for platform workflow development with hands-on n8n experience</x:v>
      </x:c>
      <x:c r="J21" t="str">
        <x:v>Fixed-scope platform workflow build</x:v>
      </x:c>
      <x:c r="K21" t="str">
        <x:v>contacted_fixed_scope</x:v>
      </x:c>
      <x:c r="L21" t="str">
        <x:v>2026-05-09</x:v>
      </x:c>
      <x:c r="M21" t="str">
        <x:v>Watch for reply; if positive, ask for one workflow description, tools, and acceptance criteria</x:v>
      </x:c>
      <x:c r="N21" t="str">
        <x:v>2026-05-11</x:v>
      </x:c>
      <x:c r="O21" t="str">
        <x:v>gmail:19e0903f1d028522</x:v>
      </x:c>
      <x:c r="P21" t="str">
        <x:v>Sent USD 1200-1800 first milestone offer using test workspace/dummy data boundary</x:v>
      </x:c>
    </x:row>
    <x:row r="22">
      <x:c r="A22" t="str">
        <x:v>C10K-020</x:v>
      </x:c>
      <x:c r="B22" t="str">
        <x:v>2026-05-09</x:v>
      </x:c>
      <x:c r="C22" t="str">
        <x:v>Codex10k</x:v>
      </x:c>
      <x:c r="D22" t="str">
        <x:v>SB CAIO / Aman Gupta</x:v>
      </x:c>
      <x:c r="E22" t="str">
        <x:v>guptaaman060491@gmail.com; nematovjasurbek577@gmail.com</x:v>
      </x:c>
      <x:c r="F22" t="str">
        <x:v>Skool public post</x:v>
      </x:c>
      <x:c r="G22" t="str">
        <x:v>https://www.skool.com/seamless-8336/hiring-for-ai-automation-devs-n8n-or-makecom-experience-preferred</x:v>
      </x:c>
      <x:c r="H22" t="str">
        <x:v>AI automation agency overflow</x:v>
      </x:c>
      <x:c r="I22" t="str">
        <x:v>Post requested contractual AI automation specialists for n8n/Make, APIs, AI agents, and real-world business workflows</x:v>
      </x:c>
      <x:c r="J22" t="str">
        <x:v>Fixed-scope overflow n8n/Make workflow build</x:v>
      </x:c>
      <x:c r="K22" t="str">
        <x:v>contacted_fixed_scope</x:v>
      </x:c>
      <x:c r="L22" t="str">
        <x:v>2026-05-09</x:v>
      </x:c>
      <x:c r="M22" t="str">
        <x:v>Watch for reply; if positive, request one active client workflow, current manual process, and desired output</x:v>
      </x:c>
      <x:c r="N22" t="str">
        <x:v>2026-05-11</x:v>
      </x:c>
      <x:c r="O22" t="str">
        <x:v>gmail:19e09040f45a4f6b</x:v>
      </x:c>
      <x:c r="P22" t="str">
        <x:v>Sent USD 1200-2500 overflow project offer; explicitly framed as fixed-scope execution partner</x:v>
      </x:c>
    </x:row>
    <x:row r="23">
      <x:c r="A23" t="str">
        <x:v>C10K-021</x:v>
      </x:c>
      <x:c r="B23" t="str">
        <x:v>2026-05-09</x:v>
      </x:c>
      <x:c r="C23" t="str">
        <x:v>Codex10k</x:v>
      </x:c>
      <x:c r="D23" t="str">
        <x:v>Elite Staffing Solutions / Wichita Staffing</x:v>
      </x:c>
      <x:c r="E23" t="str">
        <x:v>info@wichitastaffing.com</x:v>
      </x:c>
      <x:c r="F23" t="str">
        <x:v>Make Community public post / official site</x:v>
      </x:c>
      <x:c r="G23" t="str">
        <x:v>https://community.make.com/t/hiring-make-com-monday-com-expert-help-scale-my-staffing-business-with-smart-ai-automations/107133</x:v>
      </x:c>
      <x:c r="H23" t="str">
        <x:v>Staffing order intake automation</x:v>
      </x:c>
      <x:c r="I23" t="str">
        <x:v>Founder asked for Make.com + Monday.com automation to parse forwarded order emails, extract details with AI, check Monday.com via GraphQL, create AutoFlow items, and alert on blocked orders</x:v>
      </x:c>
      <x:c r="J23" t="str">
        <x:v>Fixed-scope order-intake stabilization build</x:v>
      </x:c>
      <x:c r="K23" t="str">
        <x:v>contacted_fixed_scope</x:v>
      </x:c>
      <x:c r="L23" t="str">
        <x:v>2026-05-09</x:v>
      </x:c>
      <x:c r="M23" t="str">
        <x:v>Watch for reply; if positive, request 3-5 failing order emails, Monday board fields, and successful AutoFlow item shape</x:v>
      </x:c>
      <x:c r="N23" t="str">
        <x:v>2026-05-11</x:v>
      </x:c>
      <x:c r="O23" t="str">
        <x:v>gmail:19e0905b7db83be0</x:v>
      </x:c>
      <x:c r="P23" t="str">
        <x:v>Sent USD 1800 fixed Order Intake v1 offer; official contact page listed info@wichitastaffing.com</x:v>
      </x:c>
    </x:row>
    <x:row r="24">
      <x:c r="A24" t="str">
        <x:v>C10K-022</x:v>
      </x:c>
      <x:c r="B24" t="str">
        <x:v>2026-05-09</x:v>
      </x:c>
      <x:c r="C24" t="str">
        <x:v>Codex10k</x:v>
      </x:c>
      <x:c r="D24" t="str">
        <x:v>Graeham Watts / Intero Real Estate</x:v>
      </x:c>
      <x:c r="E24" t="str">
        <x:v>graehamwatts@gmail.com</x:v>
      </x:c>
      <x:c r="F24" t="str">
        <x:v>n8n Community public post / public real estate profile</x:v>
      </x:c>
      <x:c r="G24" t="str">
        <x:v>https://community.n8n.io/t/looking-for-an-experienced-n8n-developer-to-help-implement-a-production-real-estate-automation-system-paid/247380</x:v>
      </x:c>
      <x:c r="H24" t="str">
        <x:v>Real estate automation</x:v>
      </x:c>
      <x:c r="I24" t="str">
        <x:v>Public post requested paid help on production GoHighLevel + n8n + SearchAtlas real estate workflows for lead routing, follow-up, nurture, outreach, messaging, video, and calls</x:v>
      </x:c>
      <x:c r="J24" t="str">
        <x:v>Fixed-scope GHL+n8n reliability sprint</x:v>
      </x:c>
      <x:c r="K24" t="str">
        <x:v>contacted_fixed_scope</x:v>
      </x:c>
      <x:c r="L24" t="str">
        <x:v>2026-05-09</x:v>
      </x:c>
      <x:c r="M24" t="str">
        <x:v>Watch for reply; if positive, request highest-risk workflow, GHL trigger, success/failure behavior, and sample lead records</x:v>
      </x:c>
      <x:c r="N24" t="str">
        <x:v>2026-05-11</x:v>
      </x:c>
      <x:c r="O24" t="str">
        <x:v>gmail:19e0905d640c02d5</x:v>
      </x:c>
      <x:c r="P24" t="str">
        <x:v>Sent USD 1800-2500 reliability milestone offer; email found on public real estate profiles/listings</x:v>
      </x:c>
    </x:row>
    <x:row r="25">
      <x:c r="A25" t="str">
        <x:v>C10K-023</x:v>
      </x:c>
      <x:c r="B25" t="str">
        <x:v>2026-05-09</x:v>
      </x:c>
      <x:c r="C25" t="str">
        <x:v>Codex10k</x:v>
      </x:c>
      <x:c r="D25" t="str">
        <x:v>nocodecreative.io / Wayne Simpson</x:v>
      </x:c>
      <x:c r="E25" t="str">
        <x:v>wayne@nocodecreative.io; hello@sales.nocodecreative.io</x:v>
      </x:c>
      <x:c r="F25" t="str">
        <x:v>n8n Community public post / official site</x:v>
      </x:c>
      <x:c r="G25" t="str">
        <x:v>https://community.n8n.io/t/we-re-hiring/247068</x:v>
      </x:c>
      <x:c r="H25" t="str">
        <x:v>Automation agency overflow</x:v>
      </x:c>
      <x:c r="I25" t="str">
        <x:v>Public post sought contract/freelance n8n developer help; official site shows AI, low-code, API, workflow automation, and app development services</x:v>
      </x:c>
      <x:c r="J25" t="str">
        <x:v>Fixed-scope n8n overflow build</x:v>
      </x:c>
      <x:c r="K25" t="str">
        <x:v>contacted_fixed_scope</x:v>
      </x:c>
      <x:c r="L25" t="str">
        <x:v>2026-05-09</x:v>
      </x:c>
      <x:c r="M25" t="str">
        <x:v>Watch for reply; if positive, request client-safe brief, tools involved, and definition of done</x:v>
      </x:c>
      <x:c r="N25" t="str">
        <x:v>2026-05-11</x:v>
      </x:c>
      <x:c r="O25" t="str">
        <x:v>gmail:19e0905f6b7f8fe0</x:v>
      </x:c>
      <x:c r="P25" t="str">
        <x:v>Sent USD 1500-2500 fixed overflow build offer to founder and sales inbox</x:v>
      </x:c>
    </x:row>
    <x:row r="26">
      <x:c r="A26" t="str">
        <x:v>C10K-024</x:v>
      </x:c>
      <x:c r="B26" t="str">
        <x:v>2026-05-09</x:v>
      </x:c>
      <x:c r="C26" t="str">
        <x:v>Codex10k</x:v>
      </x:c>
      <x:c r="D26" t="str">
        <x:v>Merch Club</x:v>
      </x:c>
      <x:c r="E26" t="str">
        <x:v>jay@merchclub.com</x:v>
      </x:c>
      <x:c r="F26" t="str">
        <x:v>Reddit public post</x:v>
      </x:c>
      <x:c r="G26" t="str">
        <x:v>https://www.reddit.com/r/n8n/comments/1q52ks7/hiringremote_skilled_n8n_workflow_automation/</x:v>
      </x:c>
      <x:c r="H26" t="str">
        <x:v>Ecommerce shipping notification automation</x:v>
      </x:c>
      <x:c r="I26" t="str">
        <x:v>Public post asked for n8n shipping notification automation using Google Sheets, carrier APIs, OpenAI review prompts, weather, Supermail/Gmail, logging, and delay alerts</x:v>
      </x:c>
      <x:c r="J26" t="str">
        <x:v>Fixed-scope Shipping Notification v1</x:v>
      </x:c>
      <x:c r="K26" t="str">
        <x:v>contacted_fixed_scope</x:v>
      </x:c>
      <x:c r="L26" t="str">
        <x:v>2026-05-09</x:v>
      </x:c>
      <x:c r="M26" t="str">
        <x:v>Watch for reply; if positive, request sample sheet structure, example order row, preferred email service, and carrier API</x:v>
      </x:c>
      <x:c r="N26" t="str">
        <x:v>2026-05-11</x:v>
      </x:c>
      <x:c r="O26" t="str">
        <x:v>gmail:19e090615f966eaf</x:v>
      </x:c>
      <x:c r="P26" t="str">
        <x:v>Sent USD 1800 fixed Shipping Notification v1 offer</x:v>
      </x:c>
    </x:row>
    <x:row r="27">
      <x:c r="A27" t="str">
        <x:v>C10K-025</x:v>
      </x:c>
      <x:c r="B27" t="str">
        <x:v>2026-05-09</x:v>
      </x:c>
      <x:c r="C27" t="str">
        <x:v>Codex10k</x:v>
      </x:c>
      <x:c r="D27" t="str">
        <x:v>Mcode Consulting</x:v>
      </x:c>
      <x:c r="E27" t="str">
        <x:v>anushka@mcodehq.com</x:v>
      </x:c>
      <x:c r="F27" t="str">
        <x:v>Reddit public post</x:v>
      </x:c>
      <x:c r="G27" t="str">
        <x:v>https://www.reddit.com/r/n8n/comments/1rxs43t/hiring_video_ai_automation_farm_for_product/</x:v>
      </x:c>
      <x:c r="H27" t="str">
        <x:v>Product video automation</x:v>
      </x:c>
      <x:c r="I27" t="str">
        <x:v>Public post asked for a Video AI Automation Farm for product content with company, website, and email listed</x:v>
      </x:c>
      <x:c r="J27" t="str">
        <x:v>Fixed-scope Video Automation v1</x:v>
      </x:c>
      <x:c r="K27" t="str">
        <x:v>contacted_fixed_scope</x:v>
      </x:c>
      <x:c r="L27" t="str">
        <x:v>2026-05-09</x:v>
      </x:c>
      <x:c r="M27" t="str">
        <x:v>Watch for reply; if positive, request target video format, product input fields, preferred generation tools, and first-batch acceptance checks</x:v>
      </x:c>
      <x:c r="N27" t="str">
        <x:v>2026-05-11</x:v>
      </x:c>
      <x:c r="O27" t="str">
        <x:v>gmail:19e090bef5321288</x:v>
      </x:c>
      <x:c r="P27" t="str">
        <x:v>Sent USD 2500 fixed Video Automation v1 offer using dummy product data/test assets first</x:v>
      </x:c>
    </x:row>
    <x:row r="28">
      <x:c r="A28" t="str">
        <x:v>C10K-026</x:v>
      </x:c>
      <x:c r="B28" t="str">
        <x:v>2026-05-09</x:v>
      </x:c>
      <x:c r="C28" t="str">
        <x:v>Codex10k</x:v>
      </x:c>
      <x:c r="D28" t="str">
        <x:v>Next Level Growth Partner / Tom Santella</x:v>
      </x:c>
      <x:c r="E28" t="str">
        <x:v>tom@nextlevelgrowthpartner.com</x:v>
      </x:c>
      <x:c r="F28" t="str">
        <x:v>Skool public post</x:v>
      </x:c>
      <x:c r="G28" t="str">
        <x:v>https://www.skool.com/ai-automation-society/hiring-6ae4ab1f?p=b7283e18</x:v>
      </x:c>
      <x:c r="H28" t="str">
        <x:v>Agency fulfillment automation</x:v>
      </x:c>
      <x:c r="I28" t="str">
        <x:v>Public post asked for n8n fulfillment around outreach workflows, GHL integrations, voice AI, chat widgets, and lead-conversion automations</x:v>
      </x:c>
      <x:c r="J28" t="str">
        <x:v>Compliance-first lead-response workflow</x:v>
      </x:c>
      <x:c r="K28" t="str">
        <x:v>contacted_fixed_scope</x:v>
      </x:c>
      <x:c r="L28" t="str">
        <x:v>2026-05-09</x:v>
      </x:c>
      <x:c r="M28" t="str">
        <x:v>Watch for reply; if positive, keep strict no-spam/no-deceptive-autonomy boundary and request one client-safe workflow brief</x:v>
      </x:c>
      <x:c r="N28" t="str">
        <x:v>2026-05-11</x:v>
      </x:c>
      <x:c r="O28" t="str">
        <x:v>gmail:19e090c15f5b9de0</x:v>
      </x:c>
      <x:c r="P28" t="str">
        <x:v>Sent USD 2500 fixed compliant lead-response/booked-call workflow offer; explicitly refused spam, deceptive impersonation, and policy-evasion flows</x:v>
      </x:c>
    </x:row>
    <x:row r="29">
      <x:c r="A29" t="str">
        <x:v>C10K-027</x:v>
      </x:c>
      <x:c r="B29" t="str">
        <x:v>2026-05-09</x:v>
      </x:c>
      <x:c r="C29" t="str">
        <x:v>Codex10k</x:v>
      </x:c>
      <x:c r="D29" t="str">
        <x:v>Arif Asgar</x:v>
      </x:c>
      <x:c r="E29" t="str">
        <x:v>arif.askerov99@gmail.com</x:v>
      </x:c>
      <x:c r="F29" t="str">
        <x:v>Skool public post</x:v>
      </x:c>
      <x:c r="G29" t="str">
        <x:v>https://www.skool.com/ai-automation-society/looking-for-senior-n8n-makecom-automation-expert-2-years-experience?p=bfc5565c</x:v>
      </x:c>
      <x:c r="H29" t="str">
        <x:v>Automation agency overflow</x:v>
      </x:c>
      <x:c r="I29" t="str">
        <x:v>Public post asked for experienced n8n/Make specialist for complex custom workflows across legal, real estate, healthcare, and e-commerce</x:v>
      </x:c>
      <x:c r="J29" t="str">
        <x:v>Fixed-scope n8n/Make overflow build</x:v>
      </x:c>
      <x:c r="K29" t="str">
        <x:v>contacted_fixed_scope</x:v>
      </x:c>
      <x:c r="L29" t="str">
        <x:v>2026-05-09</x:v>
      </x:c>
      <x:c r="M29" t="str">
        <x:v>Watch for reply; if positive, request tools involved, current manual process, exact expected output, and acceptance checks</x:v>
      </x:c>
      <x:c r="N29" t="str">
        <x:v>2026-05-11</x:v>
      </x:c>
      <x:c r="O29" t="str">
        <x:v>gmail:19e090c353941289</x:v>
      </x:c>
      <x:c r="P29" t="str">
        <x:v>Sent USD 1500-2500 fixed workflow group offer; framed as overflow implementation capacity, not employee role</x:v>
      </x:c>
    </x:row>
    <x:row r="30">
      <x:c r="A30" t="str">
        <x:v>C10K-028</x:v>
      </x:c>
      <x:c r="B30" t="str">
        <x:v>2026-05-09</x:v>
      </x:c>
      <x:c r="C30" t="str">
        <x:v>Codex10k</x:v>
      </x:c>
      <x:c r="D30" t="str">
        <x:v>Momentum Digital</x:v>
      </x:c>
      <x:c r="E30" t="str">
        <x:v>hi@needmomentum.com</x:v>
      </x:c>
      <x:c r="F30" t="str">
        <x:v>Glassdoor public posting</x:v>
      </x:c>
      <x:c r="G30" t="str">
        <x:v>https://www.glassdoor.com/job-listing/gohighlevel-ghl-expert-%E2%80%93-marketing-and-sales-systems-momentum-digital-JV_KO0%2C52_KE53%2C69.htm?jl=1009934837935</x:v>
      </x:c>
      <x:c r="H30" t="str">
        <x:v>GHL workflow systems</x:v>
      </x:c>
      <x:c r="I30" t="str">
        <x:v>Public posting sought GoHighLevel expert for marketing and sales systems; fit as fixed-scope workflow sprint instead of full-time role</x:v>
      </x:c>
      <x:c r="J30" t="str">
        <x:v>Fixed-scope GHL workflow sprint</x:v>
      </x:c>
      <x:c r="K30" t="str">
        <x:v>contacted_fixed_scope</x:v>
      </x:c>
      <x:c r="L30" t="str">
        <x:v>2026-05-09</x:v>
      </x:c>
      <x:c r="M30" t="str">
        <x:v>Watch for reply; if positive, request one pipeline/client snapshot, current failure path, and acceptance checklist</x:v>
      </x:c>
      <x:c r="N30" t="str">
        <x:v>2026-05-11</x:v>
      </x:c>
      <x:c r="O30" t="str">
        <x:v>gmail:19e090d9ae99fe47</x:v>
      </x:c>
      <x:c r="P30" t="str">
        <x:v>Sent USD 2500 fixed 10-day GHL workflow sprint; framed as not full-time</x:v>
      </x:c>
    </x:row>
    <x:row r="31">
      <x:c r="A31" t="str">
        <x:v>C10K-029</x:v>
      </x:c>
      <x:c r="B31" t="str">
        <x:v>2026-05-09</x:v>
      </x:c>
      <x:c r="C31" t="str">
        <x:v>Codex10k</x:v>
      </x:c>
      <x:c r="D31" t="str">
        <x:v>Gachet Ponzellini LLC</x:v>
      </x:c>
      <x:c r="E31" t="str">
        <x:v>admin@gachetponzellini.com</x:v>
      </x:c>
      <x:c r="F31" t="str">
        <x:v>Reddit public post</x:v>
      </x:c>
      <x:c r="G31" t="str">
        <x:v>https://www.reddit.com/r/n8n/comments/1qmbmd0/looking_for_n8n_automation_dev_ocr_parsing/</x:v>
      </x:c>
      <x:c r="H31" t="str">
        <x:v>Tax document OCR automation</x:v>
      </x:c>
      <x:c r="I31" t="str">
        <x:v>Public post listed a USD 1200 fixed n8n OCR/parsing/Postgres project with direct email and sensitive tax-doc constraints</x:v>
      </x:c>
      <x:c r="J31" t="str">
        <x:v>Fixed-scope n8n OCR/Postgres build</x:v>
      </x:c>
      <x:c r="K31" t="str">
        <x:v>contacted_fixed_scope</x:v>
      </x:c>
      <x:c r="L31" t="str">
        <x:v>2026-05-09</x:v>
      </x:c>
      <x:c r="M31" t="str">
        <x:v>Watch for reply only; no further outbound unless they respond because a prior separate-run message existed</x:v>
      </x:c>
      <x:c r="N31" t="str">
        <x:v>2026-05-11</x:v>
      </x:c>
      <x:c r="O31" t="str">
        <x:v>gmail:19e091058299e02a</x:v>
      </x:c>
      <x:c r="P31" t="str">
        <x:v>Sent USD 1200 fixed first-release offer with sanitized/redacted sample boundary; prior separate-run message gmail:19e08dedf46b363f found after send</x:v>
      </x:c>
    </x:row>
    <x:row r="32">
      <x:c r="A32" t="str">
        <x:v>C10K-030</x:v>
      </x:c>
      <x:c r="B32" t="str">
        <x:v>2026-05-09</x:v>
      </x:c>
      <x:c r="C32" t="str">
        <x:v>Codex10k</x:v>
      </x:c>
      <x:c r="D32" t="str">
        <x:v>Bendito Soft Tech Pvt Ltd</x:v>
      </x:c>
      <x:c r="E32" t="str">
        <x:v>contact@benditosofttech.com</x:v>
      </x:c>
      <x:c r="F32" t="str">
        <x:v>LinkedIn/Glassdoor public posting</x:v>
      </x:c>
      <x:c r="G32" t="str">
        <x:v>https://in.linkedin.com/jobs/view/senior-ghl-automation-ai-developer-at-bendito-soft-tech-pvt-ltd-4406932933</x:v>
      </x:c>
      <x:c r="H32" t="str">
        <x:v>GHL agency delivery overflow</x:v>
      </x:c>
      <x:c r="I32" t="str">
        <x:v>Public posting asked for GHL snapshots, CRM pipelines, workflows, email/SMS automation, webhooks, Make/Zapier, DNS/email setup, and AI-assisted debugging</x:v>
      </x:c>
      <x:c r="J32" t="str">
        <x:v>Fixed-scope GHL/AI automation pilot</x:v>
      </x:c>
      <x:c r="K32" t="str">
        <x:v>contacted_fixed_scope</x:v>
      </x:c>
      <x:c r="L32" t="str">
        <x:v>2026-05-09</x:v>
      </x:c>
      <x:c r="M32" t="str">
        <x:v>Watch for reply; if positive, request one client-safe snapshot/workflow brief and define test-subaccount access</x:v>
      </x:c>
      <x:c r="N32" t="str">
        <x:v>2026-05-11</x:v>
      </x:c>
      <x:c r="O32" t="str">
        <x:v>gmail:19e091083db2bcb0</x:v>
      </x:c>
      <x:c r="P32" t="str">
        <x:v>Sent USD 1500 fixed 5-business-day overflow pilot; no live client data until access boundaries agreed</x:v>
      </x:c>
    </x:row>
    <x:row r="33">
      <x:c r="A33" t="str">
        <x:v>C10K-031</x:v>
      </x:c>
      <x:c r="B33" t="str">
        <x:v>2026-05-09</x:v>
      </x:c>
      <x:c r="C33" t="str">
        <x:v>Codex10k</x:v>
      </x:c>
      <x:c r="D33" t="str">
        <x:v>Terborg Zorg</x:v>
      </x:c>
      <x:c r="E33" t="str">
        <x:v>info@terborgzorg.nl</x:v>
      </x:c>
      <x:c r="F33" t="str">
        <x:v>Reddit public post / official contact page</x:v>
      </x:c>
      <x:c r="G33" t="str">
        <x:v>https://www.reddit.com/r/n8n/comments/1sti7jh/automation_expert_wanted/</x:v>
      </x:c>
      <x:c r="H33" t="str">
        <x:v>Healthcare recruitment automation</x:v>
      </x:c>
      <x:c r="I33" t="str">
        <x:v>Public post asked for automation ownership across Meta Ads, n8n, Supabase, GoHighLevel, Bendy, Otentica, and Claude AI from ad click to signed contract</x:v>
      </x:c>
      <x:c r="J33" t="str">
        <x:v>GDPR-safe n8n/GHL/Supabase hardening sprint</x:v>
      </x:c>
      <x:c r="K33" t="str">
        <x:v>contacted_fixed_scope</x:v>
      </x:c>
      <x:c r="L33" t="str">
        <x:v>2026-05-09</x:v>
      </x:c>
      <x:c r="M33" t="str">
        <x:v>Watch for reply; if positive, request anonymized workflow map/screenshots and the highest-failure handoff only</x:v>
      </x:c>
      <x:c r="N33" t="str">
        <x:v>2026-05-11</x:v>
      </x:c>
      <x:c r="O33" t="str">
        <x:v>gmail:19e0910ab68fecff</x:v>
      </x:c>
      <x:c r="P33" t="str">
        <x:v>Sent USD 2500 7-day hardening sprint offer; explicitly no candidate, patient, or contract data by email</x:v>
      </x:c>
    </x:row>
    <x:row r="34">
      <x:c r="A34" t="str">
        <x:v>C10K-032</x:v>
      </x:c>
      <x:c r="B34" t="str">
        <x:v>2026-05-09</x:v>
      </x:c>
      <x:c r="C34" t="str">
        <x:v>Codex10k</x:v>
      </x:c>
      <x:c r="D34" t="str">
        <x:v>Swoopa / Rory</x:v>
      </x:c>
      <x:c r="E34" t="str">
        <x:v>rory@getswoopa.com</x:v>
      </x:c>
      <x:c r="F34" t="str">
        <x:v>n8n Community public post</x:v>
      </x:c>
      <x:c r="G34" t="str">
        <x:v>https://community.n8n.io/t/we-are-looking-for-someone-who-has-experience-with-n8n-and-ghl/279268</x:v>
      </x:c>
      <x:c r="H34" t="str">
        <x:v>SaaS lead/support/trial follow-up</x:v>
      </x:c>
      <x:c r="I34" t="str">
        <x:v>Public post asked for help making sure no lead, support request, or trial user is left without follow-up across GHL, OpenPhone, Gmail, and workflow systems</x:v>
      </x:c>
      <x:c r="J34" t="str">
        <x:v>Fixed-scope n8n + GHL reliability sprint</x:v>
      </x:c>
      <x:c r="K34" t="str">
        <x:v>contacted_fixed_scope</x:v>
      </x:c>
      <x:c r="L34" t="str">
        <x:v>2026-05-09</x:v>
      </x:c>
      <x:c r="M34" t="str">
        <x:v>Watch for reply; if positive, request the single follow-up path leaking the most value plus anonymized payloads/test account</x:v>
      </x:c>
      <x:c r="N34" t="str">
        <x:v>2026-05-11</x:v>
      </x:c>
      <x:c r="O34" t="str">
        <x:v>gmail:19e0911955a5ca92</x:v>
      </x:c>
      <x:c r="P34" t="str">
        <x:v>Sent USD 2500 fixed stabilized workflow group offer with test-contact and no-customer-data boundary</x:v>
      </x:c>
    </x:row>
    <x:row r="35">
      <x:c r="A35" t="str">
        <x:v>C10K-033</x:v>
      </x:c>
      <x:c r="B35" t="str">
        <x:v>2026-05-09</x:v>
      </x:c>
      <x:c r="C35" t="str">
        <x:v>Codex10k</x:v>
      </x:c>
      <x:c r="D35" t="str">
        <x:v>GoodieX Tech LLC</x:v>
      </x:c>
      <x:c r="E35" t="str">
        <x:v>admin@goodiex-tech.com</x:v>
      </x:c>
      <x:c r="F35" t="str">
        <x:v>Reddit public post / official site</x:v>
      </x:c>
      <x:c r="G35" t="str">
        <x:v>https://www.reddit.com/r/n8n/comments/1r69egp/looking_for_n8n_automation_expert/</x:v>
      </x:c>
      <x:c r="H35" t="str">
        <x:v>Clothing sales lifecycle automation</x:v>
      </x:c>
      <x:c r="I35" t="str">
        <x:v>Public post requested an n8n automation expert to manage the full sales lifecycle for a clothing business</x:v>
      </x:c>
      <x:c r="J35" t="str">
        <x:v>Fixed-scope n8n sales-lifecycle sprint</x:v>
      </x:c>
      <x:c r="K35" t="str">
        <x:v>contacted_fixed_scope</x:v>
      </x:c>
      <x:c r="L35" t="str">
        <x:v>2026-05-09</x:v>
      </x:c>
      <x:c r="M35" t="str">
        <x:v>Watch for reply; if positive, request one highest-manual sales step, sample order/customer shape, and preferred messaging channel</x:v>
      </x:c>
      <x:c r="N35" t="str">
        <x:v>2026-05-11</x:v>
      </x:c>
      <x:c r="O35" t="str">
        <x:v>gmail:19e0911b9155643c</x:v>
      </x:c>
      <x:c r="P35" t="str">
        <x:v>Sent USD 1800 fixed first workflow sprint; dummy/test customers only and simple labels for Spanish translation</x:v>
      </x:c>
    </x:row>
    <x:row r="36">
      <x:c r="A36" t="str">
        <x:v>C10K-034</x:v>
      </x:c>
      <x:c r="B36" t="str">
        <x:v>2026-05-09</x:v>
      </x:c>
      <x:c r="C36" t="str">
        <x:v>Codex10k</x:v>
      </x:c>
      <x:c r="D36" t="str">
        <x:v>Town of Duck NC</x:v>
      </x:c>
      <x:c r="E36" t="str">
        <x:v>knickens@ducknc.gov</x:v>
      </x:c>
      <x:c r="F36" t="str">
        <x:v>Public RFP page</x:v>
      </x:c>
      <x:c r="G36" t="str">
        <x:v>https://ducknc.gov/news/request-for-proposals-website-redesign-cms-implementation/</x:v>
      </x:c>
      <x:c r="H36" t="str">
        <x:v>Municipal website CMS QA</x:v>
      </x:c>
      <x:c r="I36" t="str">
        <x:v>Public RFP requested comprehensive website redesign and CMS implementation with proposal deadline May 14 2026</x:v>
      </x:c>
      <x:c r="J36" t="str">
        <x:v>Accessibility/CMS workflow QA support option</x:v>
      </x:c>
      <x:c r="K36" t="str">
        <x:v>contacted_fixed_scope</x:v>
      </x:c>
      <x:c r="L36" t="str">
        <x:v>2026-05-09</x:v>
      </x:c>
      <x:c r="M36" t="str">
        <x:v>Watch for procurement reply; if positive, send one-page scope and acceptance checklist for USD 6500 support option</x:v>
      </x:c>
      <x:c r="N36" t="str">
        <x:v>2026-05-11</x:v>
      </x:c>
      <x:c r="O36" t="str">
        <x:v>gmail:19e0918f02a759bd</x:v>
      </x:c>
      <x:c r="P36" t="str">
        <x:v>Sent USD 6500 10-business-day accessibility/CMS QA support option; explicitly not a prime full-service municipal redesign-firm submission</x:v>
      </x:c>
    </x:row>
    <x:row r="37">
      <x:c r="A37" t="str">
        <x:v>C10K-035</x:v>
      </x:c>
      <x:c r="B37" t="str">
        <x:v>2026-05-09</x:v>
      </x:c>
      <x:c r="C37" t="str">
        <x:v>Codex10k</x:v>
      </x:c>
      <x:c r="D37" t="str">
        <x:v>Hunger Task Force</x:v>
      </x:c>
      <x:c r="E37" t="str">
        <x:v>zachary@hungertaskforce.org</x:v>
      </x:c>
      <x:c r="F37" t="str">
        <x:v>Public RFP page</x:v>
      </x:c>
      <x:c r="G37" t="str">
        <x:v>https://www.hungertaskforce.org/2026/03/18/website-redesign-rfp/</x:v>
      </x:c>
      <x:c r="H37" t="str">
        <x:v>Nonprofit website/donation workflow QA</x:v>
      </x:c>
      <x:c r="I37" t="str">
        <x:v>Public RFP described full website rebuild focused on food-resource access, monthly recurring donations, WCAG 2.1 AA, and Blackbaud/Fundraise Up/Quorum/Galaxy integrations; proposal deadline passed but vendor selection listed May 20 2026</x:v>
      </x:c>
      <x:c r="J37" t="str">
        <x:v>Donation/accessibility launch QA support option</x:v>
      </x:c>
      <x:c r="K37" t="str">
        <x:v>contacted_fixed_scope</x:v>
      </x:c>
      <x:c r="L37" t="str">
        <x:v>2026-05-09</x:v>
      </x:c>
      <x:c r="M37" t="str">
        <x:v>Watch for reply; if positive, request CMS/integration stack and send one-page scope with acceptance criteria</x:v>
      </x:c>
      <x:c r="N37" t="str">
        <x:v>2026-05-11</x:v>
      </x:c>
      <x:c r="O37" t="str">
        <x:v>gmail:19e0919708d02b01</x:v>
      </x:c>
      <x:c r="P37" t="str">
        <x:v>Sent USD 9000 donation/accessibility/workflow QA support option for internal team or selected vendor; no donor/client/beneficiary data by email</x:v>
      </x:c>
    </x:row>
    <x:row r="38">
      <x:c r="A38" t="str">
        <x:v>C10K-036</x:v>
      </x:c>
      <x:c r="B38" t="str">
        <x:v>2026-05-09</x:v>
      </x:c>
      <x:c r="C38" t="str">
        <x:v>Codex10k</x:v>
      </x:c>
      <x:c r="D38" t="str">
        <x:v>Idaho Forest Restoration Partnership</x:v>
      </x:c>
      <x:c r="E38" t="str">
        <x:v>russ7024@vandals.uidaho.edu; idahoforestpartners@gmail.com</x:v>
      </x:c>
      <x:c r="F38" t="str">
        <x:v>Public RFP page</x:v>
      </x:c>
      <x:c r="G38" t="str">
        <x:v>https://idahoforestpartners.org/services</x:v>
      </x:c>
      <x:c r="H38" t="str">
        <x:v>Nonprofit website beta launch QA</x:v>
      </x:c>
      <x:c r="I38" t="str">
        <x:v>Public RFP showed beta testing May 7-15 2026, final website launch June 1 2026, SiteKreator migration, resource library, redirects, accessibility, Aweber, donations/sponsorship CTAs, and staff training</x:v>
      </x:c>
      <x:c r="J38" t="str">
        <x:v>Website beta QA launch-support sprint</x:v>
      </x:c>
      <x:c r="K38" t="str">
        <x:v>contacted_fixed_scope</x:v>
      </x:c>
      <x:c r="L38" t="str">
        <x:v>2026-05-09</x:v>
      </x:c>
      <x:c r="M38" t="str">
        <x:v>Watch for reply; if positive, request beta/staging URL, selected CMS, resource-library status, and migration inventory</x:v>
      </x:c>
      <x:c r="N38" t="str">
        <x:v>2026-05-11</x:v>
      </x:c>
      <x:c r="O38" t="str">
        <x:v>gmail:19e09231a31216c8</x:v>
      </x:c>
      <x:c r="P38" t="str">
        <x:v>Sent USD 6500 7-10 business day migration/accessibility/resource-library launch QA support option; not a late replacement proposal</x:v>
      </x:c>
    </x:row>
    <x:row r="39">
      <x:c r="A39" t="str">
        <x:v>C10K-037</x:v>
      </x:c>
      <x:c r="B39" t="str">
        <x:v>2026-05-09</x:v>
      </x:c>
      <x:c r="C39" t="str">
        <x:v>Codex10k</x:v>
      </x:c>
      <x:c r="D39" t="str">
        <x:v>City of Waverly IA</x:v>
      </x:c>
      <x:c r="E39" t="str">
        <x:v>jljohnson@waverlyia.com</x:v>
      </x:c>
      <x:c r="F39" t="str">
        <x:v>Public RFP page</x:v>
      </x:c>
      <x:c r="G39" t="str">
        <x:v>https://www.waverlyia.com/news/city-of-waverly/city-of-waverly-w.aspx</x:v>
      </x:c>
      <x:c r="H39" t="str">
        <x:v>Municipal website launch QA</x:v>
      </x:c>
      <x:c r="I39" t="str">
        <x:v>Public RFP requested website redesign, development, hosting, and maintenance services with accessible, user-friendly, sustainable platform goals; proposal deadline already passed</x:v>
      </x:c>
      <x:c r="J39" t="str">
        <x:v>Website redesign launch QA support option</x:v>
      </x:c>
      <x:c r="K39" t="str">
        <x:v>contacted_fixed_scope</x:v>
      </x:c>
      <x:c r="L39" t="str">
        <x:v>2026-05-09</x:v>
      </x:c>
      <x:c r="M39" t="str">
        <x:v>Watch for reply; if positive, request current project/vendor status, staging timing, CMS, and priority citizen paths</x:v>
      </x:c>
      <x:c r="N39" t="str">
        <x:v>2026-05-11</x:v>
      </x:c>
      <x:c r="O39" t="str">
        <x:v>gmail:19e09234c800d9d4</x:v>
      </x:c>
      <x:c r="P39" t="str">
        <x:v>Sent USD 6500 7-10 business day accessibility/CMS/migration launch QA support option; explicitly not a late full redesign proposal</x:v>
      </x:c>
    </x:row>
    <x:row r="40">
      <x:c r="A40" t="str">
        <x:v>C10K-038</x:v>
      </x:c>
      <x:c r="B40" t="str">
        <x:v>2026-05-09</x:v>
      </x:c>
      <x:c r="C40" t="str">
        <x:v>Codex10k</x:v>
      </x:c>
      <x:c r="D40" t="str">
        <x:v>Chain Reaction Motorcycle School</x:v>
      </x:c>
      <x:c r="E40" t="str">
        <x:v>luke@chainreactionmotorcycleschool.com</x:v>
      </x:c>
      <x:c r="F40" t="str">
        <x:v>Reddit public post / official site</x:v>
      </x:c>
      <x:c r="G40" t="str">
        <x:v>https://www.reddit.com/r/AiAutomations/comments/1s599vw/looking_for_ai_automation_expert_to_build/</x:v>
      </x:c>
      <x:c r="H40" t="str">
        <x:v>Scheduling/payment automation</x:v>
      </x:c>
      <x:c r="I40" t="str">
        <x:v>Public post requested AI digital front office across Wix forms, Gmail, Stripe, Airtable, Make/Zapier, phone/SMS/email, scheduling, payments, enrollment tracking, and MSF eCourse timing</x:v>
      </x:c>
      <x:c r="J40" t="str">
        <x:v>Phase 1 scheduling/payment source-of-truth build</x:v>
      </x:c>
      <x:c r="K40" t="str">
        <x:v>contacted_fixed_scope</x:v>
      </x:c>
      <x:c r="L40" t="str">
        <x:v>2026-05-09</x:v>
      </x:c>
      <x:c r="M40" t="str">
        <x:v>Watch for reply; if positive, request workflow video or 3 anonymized examples and scope paid Phase 1</x:v>
      </x:c>
      <x:c r="N40" t="str">
        <x:v>2026-05-12</x:v>
      </x:c>
      <x:c r="O40" t="str">
        <x:v>gmail:19e092dbf9996651</x:v>
      </x:c>
      <x:c r="P40" t="str">
        <x:v>Sent USD 3500 Phase 1 offer; no student data by email; no promise of MSF RES browser automation before access review</x:v>
      </x:c>
    </x:row>
    <x:row r="41">
      <x:c r="A41" t="str">
        <x:v>C10K-039</x:v>
      </x:c>
      <x:c r="B41" t="str">
        <x:v>2026-05-09</x:v>
      </x:c>
      <x:c r="C41" t="str">
        <x:v>Codex10k</x:v>
      </x:c>
      <x:c r="D41" t="str">
        <x:v>Ferncliff Camp and Conference Center</x:v>
      </x:c>
      <x:c r="E41" t="str">
        <x:v>kimberly@ferncliff.org; info@ferncliff.org</x:v>
      </x:c>
      <x:c r="F41" t="str">
        <x:v>Public RFP page</x:v>
      </x:c>
      <x:c r="G41" t="str">
        <x:v>https://ferncliff.org/about/jobs/rfps/</x:v>
      </x:c>
      <x:c r="H41" t="str">
        <x:v>Nonprofit website launch QA</x:v>
      </x:c>
      <x:c r="I41" t="str">
        <x:v>Open website redesign RFP with May 25 proposal deadline; scope includes CampBrain, DonorPerfect, Constant Contact, ADP, Square, content migration, staff editing, accessibility, giving, camp, retreat, nature school, outreach, and store paths</x:v>
      </x:c>
      <x:c r="J41" t="str">
        <x:v>Donation/integration/accessibility QA support</x:v>
      </x:c>
      <x:c r="K41" t="str">
        <x:v>contacted_fixed_scope</x:v>
      </x:c>
      <x:c r="L41" t="str">
        <x:v>2026-05-09</x:v>
      </x:c>
      <x:c r="M41" t="str">
        <x:v>Watch for reply; if positive, send one-page acceptance checklist for support slice or selected vendor</x:v>
      </x:c>
      <x:c r="N41" t="str">
        <x:v>2026-05-14</x:v>
      </x:c>
      <x:c r="O41" t="str">
        <x:v>gmail:19e092de4305b72a</x:v>
      </x:c>
      <x:c r="P41" t="str">
        <x:v>Sent USD 4500 bounded QA/support option; not a prime redesign bid; no donor/camper/staff/applicant data by email</x:v>
      </x:c>
    </x:row>
    <x:row r="42">
      <x:c r="A42" t="str">
        <x:v>C10K-040</x:v>
      </x:c>
      <x:c r="B42" t="str">
        <x:v>2026-05-09</x:v>
      </x:c>
      <x:c r="C42" t="str">
        <x:v>Codex10k</x:v>
      </x:c>
      <x:c r="D42" t="str">
        <x:v>City of Hidden Hills CA</x:v>
      </x:c>
      <x:c r="E42" t="str">
        <x:v>amber@hiddenhills.gov</x:v>
      </x:c>
      <x:c r="F42" t="str">
        <x:v>Public RFP page</x:v>
      </x:c>
      <x:c r="G42" t="str">
        <x:v>https://hiddenhills.gov/city-departments/city-clerk/notice-inviting-bids-proposals-rfps/</x:v>
      </x:c>
      <x:c r="H42" t="str">
        <x:v>Municipal website launch QA</x:v>
      </x:c>
      <x:c r="I42" t="str">
        <x:v>Open website redesign and development services RFP due May 15; scope includes redesign, development, hosting, training, ongoing maintenance, and public-agency CMS handoff</x:v>
      </x:c>
      <x:c r="J42" t="str">
        <x:v>Municipal accessibility/CMS migration QA support</x:v>
      </x:c>
      <x:c r="K42" t="str">
        <x:v>contacted_fixed_scope</x:v>
      </x:c>
      <x:c r="L42" t="str">
        <x:v>2026-05-09</x:v>
      </x:c>
      <x:c r="M42" t="str">
        <x:v>Watch for reply; only communicate through designated RFP contact; if positive, send one-page QA scope</x:v>
      </x:c>
      <x:c r="N42" t="str">
        <x:v>2026-05-13</x:v>
      </x:c>
      <x:c r="O42" t="str">
        <x:v>gmail:19e092e04acef122</x:v>
      </x:c>
      <x:c r="P42" t="str">
        <x:v>Sent USD 6500 launch QA support option; explicitly not bypassing RFP or replacing prime vendor</x:v>
      </x:c>
    </x:row>
    <x:row r="43">
      <x:c r="A43" t="str">
        <x:v>C10K-041</x:v>
      </x:c>
      <x:c r="B43" t="str">
        <x:v>2026-05-09</x:v>
      </x:c>
      <x:c r="C43" t="str">
        <x:v>Codex10k</x:v>
      </x:c>
      <x:c r="D43" t="str">
        <x:v>SCIDpda</x:v>
      </x:c>
      <x:c r="E43" t="str">
        <x:v>marione@scidpda.org</x:v>
      </x:c>
      <x:c r="F43" t="str">
        <x:v>Public RFQ page</x:v>
      </x:c>
      <x:c r="G43" t="str">
        <x:v>https://scidpda.org/website-redesign-and-development-for-scidpda-request-for-qualifications-rfq/</x:v>
      </x:c>
      <x:c r="H43" t="str">
        <x:v>Community nonprofit website launch QA</x:v>
      </x:c>
      <x:c r="I43" t="str">
        <x:v>RFQ due May 13 with October 2026 launch target; site needs donations, property listings, event calendar, RFQ/RFP postings, multilingual translation, accessibility, security, staff training, and governance materials</x:v>
      </x:c>
      <x:c r="J43" t="str">
        <x:v>Multilingual/accessibility/security launch QA support</x:v>
      </x:c>
      <x:c r="K43" t="str">
        <x:v>contacted_fixed_scope</x:v>
      </x:c>
      <x:c r="L43" t="str">
        <x:v>2026-05-09</x:v>
      </x:c>
      <x:c r="M43" t="str">
        <x:v>Watch for reply; if positive, send one-page beta QA/support scope or support selected vendor</x:v>
      </x:c>
      <x:c r="N43" t="str">
        <x:v>2026-05-12</x:v>
      </x:c>
      <x:c r="O43" t="str">
        <x:v>gmail:19e092e31c4c2514</x:v>
      </x:c>
      <x:c r="P43" t="str">
        <x:v>Sent USD 4000 bounded support option; not a late full redesign bid; no resident/donor/applicant/tenant data by email</x:v>
      </x:c>
    </x:row>
    <x:row r="44">
      <x:c r="A44" t="str">
        <x:v>C10K-042</x:v>
      </x:c>
      <x:c r="B44" t="str">
        <x:v>2026-05-09</x:v>
      </x:c>
      <x:c r="C44" t="str">
        <x:v>Codex10k</x:v>
      </x:c>
      <x:c r="D44" t="str">
        <x:v>ShelbyKY Tourism</x:v>
      </x:c>
      <x:c r="E44" t="str">
        <x:v>mason@visitshelbyky.com; ethan@visitshelbyky.com</x:v>
      </x:c>
      <x:c r="F44" t="str">
        <x:v>Public RFP page</x:v>
      </x:c>
      <x:c r="G44" t="str">
        <x:v>https://www.visitshelbyky.com/articles/post/request-for-proposals-website-design/</x:v>
      </x:c>
      <x:c r="H44" t="str">
        <x:v>Tourism website migration QA</x:v>
      </x:c>
      <x:c r="I44" t="str">
        <x:v>Open VisitShelbyKY.com redesign RFP due May 29; moving away from Simpleview/Granicus with Whereabouts CRM collaboration, accessibility, SEO/GEO, redirects, Datafy, WhatsGood, Flodesk, analytics preservation, and post-launch support</x:v>
      </x:c>
      <x:c r="J44" t="str">
        <x:v>Tourism website QA/accessibility support package</x:v>
      </x:c>
      <x:c r="K44" t="str">
        <x:v>contacted_fixed_scope</x:v>
      </x:c>
      <x:c r="L44" t="str">
        <x:v>2026-05-09</x:v>
      </x:c>
      <x:c r="M44" t="str">
        <x:v>Watch for reply; if positive, send one-page support-subcontract scope and acceptance criteria</x:v>
      </x:c>
      <x:c r="N44" t="str">
        <x:v>2026-05-14</x:v>
      </x:c>
      <x:c r="O44" t="str">
        <x:v>gmail:19e092e54ededdf6</x:v>
      </x:c>
      <x:c r="P44" t="str">
        <x:v>Sent USD 7500 bounded QA/accessibility support option; not a prime website proposal</x:v>
      </x:c>
    </x:row>
    <x:row r="45">
      <x:c r="A45" t="str">
        <x:v>C10K-043</x:v>
      </x:c>
      <x:c r="B45" t="str">
        <x:v>2026-05-09</x:v>
      </x:c>
      <x:c r="C45" t="str">
        <x:v>Codex10k</x:v>
      </x:c>
      <x:c r="D45" t="str">
        <x:v>Bellingham Housing Authority</x:v>
      </x:c>
      <x:c r="E45" t="str">
        <x:v>procurement@bellinghamhousing.org; Chris.Longwell@BellinghamHousing.org</x:v>
      </x:c>
      <x:c r="F45" t="str">
        <x:v>Public RFP page</x:v>
      </x:c>
      <x:c r="G45" t="str">
        <x:v>https://bellinghamhousing.org/request-for-proposals-website-development-and-design-services/2026/04/20/</x:v>
      </x:c>
      <x:c r="H45" t="str">
        <x:v>Housing authority website launch QA</x:v>
      </x:c>
      <x:c r="I45" t="str">
        <x:v>Open RFP-BHA-2026-04-IT due May 27; scope includes modern accessible public site for applicants, residents, landlords, property directory, rebrand/logo, staff training, launch, and 12-month support</x:v>
      </x:c>
      <x:c r="J45" t="str">
        <x:v>Housing authority accessibility/property-directory launch QA support</x:v>
      </x:c>
      <x:c r="K45" t="str">
        <x:v>contacted_fixed_scope</x:v>
      </x:c>
      <x:c r="L45" t="str">
        <x:v>2026-05-09</x:v>
      </x:c>
      <x:c r="M45" t="str">
        <x:v>Watch for reply; if positive, send one-page QA scope for selected vendor or BHA acceptance testing</x:v>
      </x:c>
      <x:c r="N45" t="str">
        <x:v>2026-05-14</x:v>
      </x:c>
      <x:c r="O45" t="str">
        <x:v>gmail:19e092e797f754eb</x:v>
      </x:c>
      <x:c r="P45" t="str">
        <x:v>Sent USD 6500 bounded QA/accessibility support option; not a prime redesign proposal; no applicant/resident/landlord data by email</x:v>
      </x:c>
    </x:row>
    <x:row r="46">
      <x:c r="A46" t="str">
        <x:v>C10K-044</x:v>
      </x:c>
      <x:c r="B46" t="str">
        <x:v>2026-05-09</x:v>
      </x:c>
      <x:c r="C46" t="str">
        <x:v>Codex10k</x:v>
      </x:c>
      <x:c r="D46" t="str">
        <x:v>City of Willow Springs MO</x:v>
      </x:c>
      <x:c r="E46" t="str">
        <x:v>htooley@willowspringsmo.com; bhicks@willowspringsmo.com</x:v>
      </x:c>
      <x:c r="F46" t="str">
        <x:v>Public bid page</x:v>
      </x:c>
      <x:c r="G46" t="str">
        <x:v>https://www.willowspringsmo.com/bids.aspx?bidID=8</x:v>
      </x:c>
      <x:c r="H46" t="str">
        <x:v>Municipal CMS/forms/accessibility QA</x:v>
      </x:c>
      <x:c r="I46" t="str">
        <x:v>Open website redesign and content management services RFP due May 29; replacing CivicPlus with hosted CMS, forms, staff portal, agendas/minutes, document management, ADA/WCAG, future .gov transition, and staff editor guardrails</x:v>
      </x:c>
      <x:c r="J46" t="str">
        <x:v>CMS/forms/accessibility acceptance testing support</x:v>
      </x:c>
      <x:c r="K46" t="str">
        <x:v>contacted_fixed_scope</x:v>
      </x:c>
      <x:c r="L46" t="str">
        <x:v>2026-05-09</x:v>
      </x:c>
      <x:c r="M46" t="str">
        <x:v>Watch for reply; if positive, send one-page acceptance testing scope</x:v>
      </x:c>
      <x:c r="N46" t="str">
        <x:v>2026-05-14</x:v>
      </x:c>
      <x:c r="O46" t="str">
        <x:v>gmail:19e092e9eef4b373</x:v>
      </x:c>
      <x:c r="P46" t="str">
        <x:v>Sent USD 6800 bounded QA/support package; not a full prime website proposal; no sensitive resident/employee/utility/payment data by email</x:v>
      </x:c>
    </x:row>
    <x:row r="47">
      <x:c r="A47" t="str">
        <x:v>C10K-045</x:v>
      </x:c>
      <x:c r="B47" t="str">
        <x:v>2026-05-09</x:v>
      </x:c>
      <x:c r="C47" t="str">
        <x:v>Codex10k</x:v>
      </x:c>
      <x:c r="D47" t="str">
        <x:v>Yolo-Solano Air Quality Management District</x:v>
      </x:c>
      <x:c r="E47" t="str">
        <x:v>BJamros@ysaqmd.org</x:v>
      </x:c>
      <x:c r="F47" t="str">
        <x:v>Public RFP page</x:v>
      </x:c>
      <x:c r="G47" t="str">
        <x:v>https://www.ysaqmd.org/about-the-district/announcements/</x:v>
      </x:c>
      <x:c r="H47" t="str">
        <x:v>Air district website accessibility QA</x:v>
      </x:c>
      <x:c r="I47" t="str">
        <x:v>Open RFP for Website Redesign and Development Services with ADA Accessibility Compliance due June 1; scope includes content migration, staff training, accessibility documentation, testing, and deployment</x:v>
      </x:c>
      <x:c r="J47" t="str">
        <x:v>Accessibility and launch QA support option</x:v>
      </x:c>
      <x:c r="K47" t="str">
        <x:v>contacted_fixed_scope</x:v>
      </x:c>
      <x:c r="L47" t="str">
        <x:v>2026-05-09</x:v>
      </x:c>
      <x:c r="M47" t="str">
        <x:v>Watch for reply; if positive, send one-page acceptance checklist for YSAQMD or selected vendor</x:v>
      </x:c>
      <x:c r="N47" t="str">
        <x:v>2026-05-14</x:v>
      </x:c>
      <x:c r="O47" t="str">
        <x:v>gmail:19e092ebf47ff420</x:v>
      </x:c>
      <x:c r="P47" t="str">
        <x:v>Sent USD 6500 bounded QA/accessibility support option; not a prime redesign proposal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sheetData>
    <x:row r="1">
      <x:c r="A1" t="str">
        <x:v>Assumption</x:v>
      </x:c>
      <x:c r="B1" t="str">
        <x:v>Value</x:v>
      </x:c>
      <x:c r="C1" t="str">
        <x:v>Source</x:v>
      </x:c>
      <x:c r="D1" t="str">
        <x:v>Notes</x:v>
      </x:c>
    </x:row>
    <x:row r="2">
      <x:c r="A2" t="str">
        <x:v>Stripe U.S. domestic card fee</x:v>
      </x:c>
      <x:c r="B2" t="str">
        <x:v>2.9% + $0.30</x:v>
      </x:c>
      <x:c r="C2" t="str">
        <x:v>https://stripe.com/us/pricing</x:v>
      </x:c>
      <x:c r="D2" t="str">
        <x:v>Use actual fee evidence when available</x:v>
      </x:c>
    </x:row>
    <x:row r="3">
      <x:c r="A3" t="str">
        <x:v>Upwork freelancer service fee</x:v>
      </x:c>
      <x:c r="B3" t="str">
        <x:v>0%-15%</x:v>
      </x:c>
      <x:c r="C3" t="str">
        <x:v>https://support.upwork.com/hc/en-us/articles/211062538-Freelancer-Service-Fee</x:v>
      </x:c>
      <x:c r="D3" t="str">
        <x:v>Varies by contract</x:v>
      </x:c>
    </x:row>
    <x:row r="4">
      <x:c r="A4" t="str">
        <x:v>Upwork Connects</x:v>
      </x:c>
      <x:c r="B4" t="str">
        <x:v>$0.15 each</x:v>
      </x:c>
      <x:c r="C4" t="str">
        <x:v>https://support.upwork.com/hc/en-us/articles/34955398999699-Connects</x:v>
      </x:c>
      <x:c r="D4" t="str">
        <x:v>Treat as direct cost if used</x:v>
      </x:c>
    </x:row>
    <x:row r="5">
      <x:c r="A5" t="str">
        <x:v>Cold commercial email</x:v>
      </x:c>
      <x:c r="B5" t="str">
        <x:v>Requires CAN-SPAM compliance</x:v>
      </x:c>
      <x:c r="C5" t="str">
        <x:v>https://www.ftc.gov/business-guidance/resources/can-spam-act-compliance-guide-business</x:v>
      </x:c>
      <x:c r="D5" t="str">
        <x:v>Avoid cold email until postal address is available</x:v>
      </x:c>
    </x:row>
    <x:row r="6">
      <x:c r="A6" t="str">
        <x:v>Primary channel</x:v>
      </x:c>
      <x:c r="B6" t="str">
        <x:v>Public hiring posts + communities</x:v>
      </x:c>
      <x:c r="C6" t="str">
        <x:v>docs/research.md</x:v>
      </x:c>
      <x:c r="D6" t="str">
        <x:v>Buyer-intent first</x:v>
      </x:c>
    </x:row>
    <x:row r="7">
      <x:c r="A7" t="str">
        <x:v>Primary price</x:v>
      </x:c>
      <x:c r="B7" t="str">
        <x:v>$4,800-$7,500</x:v>
      </x:c>
      <x:c r="C7" t="str">
        <x:v>docs/offer.md</x:v>
      </x:c>
      <x:c r="D7" t="str">
        <x:v>Fixed-scope sprint</x:v>
      </x:c>
    </x:row>
    <x:row r="8">
      <x:c r="A8" t="str">
        <x:v>Retainer</x:v>
      </x:c>
      <x:c r="B8" t="str">
        <x:v>$750-$1,500/mo</x:v>
      </x:c>
      <x:c r="C8" t="str">
        <x:v>docs/offer.md</x:v>
      </x:c>
      <x:c r="D8" t="str">
        <x:v>Optional after launch</x:v>
      </x:c>
    </x:row>
    <x:row r="9">
      <x:c r="A9" t="str">
        <x:v>Direct costs policy</x:v>
      </x:c>
      <x:c r="B9" t="str">
        <x:v>Approved before use</x:v>
      </x:c>
      <x:c r="C9" t="str">
        <x:v>docs/payment-flow.md</x:v>
      </x:c>
      <x:c r="D9" t="str">
        <x:v>Subtract all costs from net profit</x:v>
      </x:c>
    </x:row>
  </x:sheetData>
  <x:pageMargins left="0.7" right="0.7" top="0.75" bottom="0.75" header="0.3" footer="0.3"/>
</x:worksheet>
</file>