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793283d68649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3435308681642a9"/>
    <x:sheet xmlns:r="http://schemas.openxmlformats.org/officeDocument/2006/relationships" name="Ledger" sheetId="2" r:id="R4f6b369aac5243cf"/>
    <x:sheet xmlns:r="http://schemas.openxmlformats.org/officeDocument/2006/relationships" name="Prospects" sheetId="3" r:id="Rdb21c02757e84bfb"/>
    <x:sheet xmlns:r="http://schemas.openxmlformats.org/officeDocument/2006/relationships" name="Assumptions" sheetId="4" r:id="R45cc8b3e51ed4f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0c3899aeab4220" /><Relationship Type="http://schemas.openxmlformats.org/officeDocument/2006/relationships/theme" Target="/xl/theme/theme1.xml" Id="Rae1f31ca38404e4f" /><Relationship Type="http://schemas.openxmlformats.org/officeDocument/2006/relationships/sharedStrings" Target="/xl/sharedStrings.xml" Id="R518fb24f1b2a4093" /><Relationship Type="http://schemas.openxmlformats.org/officeDocument/2006/relationships/worksheet" Target="/xl/worksheets/sheet1.xml" Id="Re3435308681642a9" /><Relationship Type="http://schemas.openxmlformats.org/officeDocument/2006/relationships/worksheet" Target="/xl/worksheets/sheet2.xml" Id="R4f6b369aac5243cf" /><Relationship Type="http://schemas.openxmlformats.org/officeDocument/2006/relationships/worksheet" Target="/xl/worksheets/sheet3.xml" Id="Rdb21c02757e84bfb" /><Relationship Type="http://schemas.openxmlformats.org/officeDocument/2006/relationships/worksheet" Target="/xl/worksheets/sheet4.xml" Id="R45cc8b3e51ed4f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Codex10k Verified Profit Dashboard</x:v>
      </x:c>
      <x:c r="B1" t="str"/>
      <x:c r="C1" t="str"/>
      <x:c r="D1" t="str"/>
      <x:c r="E1" t="str"/>
      <x:c r="F1" t="str"/>
    </x:row>
    <x:row r="3">
      <x:c r="A3" t="str">
        <x:v>Goal</x:v>
      </x:c>
      <x:c r="B3" t="n">
        <x:v>10000</x:v>
      </x:c>
      <x:c r="D3" t="str">
        <x:v>Run Label</x:v>
      </x:c>
      <x:c r="E3" t="str">
        <x:v>Codex10k</x:v>
      </x:c>
      <x:c r="F3" t="str"/>
    </x:row>
    <x:row r="4">
      <x:c r="A4" t="str">
        <x:v>Verified Net Profit</x:v>
      </x:c>
      <x:c r="B4" t="n">
        <x:v>0</x:v>
      </x:c>
      <x:c r="D4" t="str">
        <x:v>Primary Offer</x:v>
      </x:c>
      <x:c r="E4" t="str">
        <x:v>10-Day Workflow Revenue Recovery Sprint</x:v>
      </x:c>
      <x:c r="F4" t="str"/>
    </x:row>
    <x:row r="5">
      <x:c r="A5" t="str">
        <x:v>Remaining</x:v>
      </x:c>
      <x:c r="B5" t="n">
        <x:f>B3-B4</x:f>
        <x:v>10000</x:v>
      </x:c>
      <x:c r="D5" t="str">
        <x:v>Target Close Pattern</x:v>
      </x:c>
      <x:c r="E5" t="str">
        <x:v>2 sprint clients at $6k+ or 3 at $4.8k</x:v>
      </x:c>
      <x:c r="F5" t="str"/>
    </x:row>
    <x:row r="6">
      <x:c r="A6" t="str">
        <x:v>Gross Settled Revenue</x:v>
      </x:c>
      <x:c r="B6" t="n">
        <x:v>0</x:v>
      </x:c>
      <x:c r="D6" t="str">
        <x:v>Payment Evidence</x:v>
      </x:c>
      <x:c r="E6" t="str">
        <x:v>Invoice, transaction ID, payout proof, fee receipt</x:v>
      </x:c>
      <x:c r="F6" t="str"/>
    </x:row>
    <x:row r="7">
      <x:c r="A7" t="str">
        <x:v>Fees + Costs + Refunds</x:v>
      </x:c>
      <x:c r="B7" t="n">
        <x:v>0</x:v>
      </x:c>
      <x:c r="D7" t="str">
        <x:v>Rule</x:v>
      </x:c>
      <x:c r="E7" t="str">
        <x:v>Count settled revenue only</x:v>
      </x:c>
      <x:c r="F7" t="str"/>
    </x:row>
    <x:row r="8">
      <x:c r="A8" t="str">
        <x:v>Qualified Prospects</x:v>
      </x:c>
      <x:c r="B8" t="n">
        <x:f>COUNTA(Prospects!A2:A200)</x:f>
        <x:v>13</x:v>
      </x:c>
    </x:row>
    <x:row r="9">
      <x:c r="A9" t="str">
        <x:v>Interested Prospects</x:v>
      </x:c>
      <x:c r="B9" t="n">
        <x:f>COUNTIF(Prospects!G2:G200,"Interested")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Date</x:v>
      </x:c>
      <x:c r="B1" t="str">
        <x:v>Event ID</x:v>
      </x:c>
      <x:c r="C1" t="str">
        <x:v>Counterparty</x:v>
      </x:c>
      <x:c r="D1" t="str">
        <x:v>Channel</x:v>
      </x:c>
      <x:c r="E1" t="str">
        <x:v>Description</x:v>
      </x:c>
      <x:c r="F1" t="str">
        <x:v>Gross Revenue</x:v>
      </x:c>
      <x:c r="G1" t="str">
        <x:v>Payment Fees</x:v>
      </x:c>
      <x:c r="H1" t="str">
        <x:v>Platform Fees</x:v>
      </x:c>
      <x:c r="I1" t="str">
        <x:v>Direct Costs</x:v>
      </x:c>
      <x:c r="J1" t="str">
        <x:v>Refunds</x:v>
      </x:c>
      <x:c r="K1" t="str">
        <x:v>Net Profit</x:v>
      </x:c>
      <x:c r="L1" t="str">
        <x:v>Status</x:v>
      </x:c>
      <x:c r="M1" t="str">
        <x:v>Transaction ID</x:v>
      </x:c>
      <x:c r="N1" t="str">
        <x:v>Evidence URI</x:v>
      </x:c>
      <x:c r="O1" t="str">
        <x:v>Notes</x:v>
      </x:c>
    </x:row>
    <x:row r="2">
      <x:c r="A2" t="str">
        <x:v>2026-05-08</x:v>
      </x:c>
      <x:c r="B2" t="str">
        <x:v>LEDGER-000</x:v>
      </x:c>
      <x:c r="C2" t="str">
        <x:v>Internal</x:v>
      </x:c>
      <x:c r="D2" t="str">
        <x:v>Workspace</x:v>
      </x:c>
      <x:c r="E2" t="str">
        <x:v>Codex10k ledger initialized</x:v>
      </x:c>
      <x:c r="F2" t="n">
        <x:v>0</x:v>
      </x:c>
      <x:c r="G2" t="n">
        <x:v>0</x:v>
      </x:c>
      <x:c r="H2" t="n">
        <x:v>0</x:v>
      </x:c>
      <x:c r="I2" t="n">
        <x:v>0</x:v>
      </x:c>
      <x:c r="J2" t="n">
        <x:v>0</x:v>
      </x:c>
      <x:c r="K2" t="n">
        <x:f>F2-G2-H2-I2-J2</x:f>
        <x:v>0</x:v>
      </x:c>
      <x:c r="L2" t="str">
        <x:v>initialized</x:v>
      </x:c>
      <x:c r="M2"/>
      <x:c r="N2" t="str">
        <x:v>docs/research.md</x:v>
      </x:c>
      <x:c r="O2" t="str">
        <x:v>No verified revenue yet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Lead ID</x:v>
      </x:c>
      <x:c r="B1" t="str">
        <x:v>Created</x:v>
      </x:c>
      <x:c r="C1" t="str">
        <x:v>Label Namespace</x:v>
      </x:c>
      <x:c r="D1" t="str">
        <x:v>Company</x:v>
      </x:c>
      <x:c r="E1" t="str">
        <x:v>Contact</x:v>
      </x:c>
      <x:c r="F1" t="str">
        <x:v>Channel</x:v>
      </x:c>
      <x:c r="G1" t="str">
        <x:v>Source URL</x:v>
      </x:c>
      <x:c r="H1" t="str">
        <x:v>Segment</x:v>
      </x:c>
      <x:c r="I1" t="str">
        <x:v>Problem Hypothesis</x:v>
      </x:c>
      <x:c r="J1" t="str">
        <x:v>Offer</x:v>
      </x:c>
      <x:c r="K1" t="str">
        <x:v>Status</x:v>
      </x:c>
      <x:c r="L1" t="str">
        <x:v>Last Touch</x:v>
      </x:c>
      <x:c r="M1" t="str">
        <x:v>Next Action</x:v>
      </x:c>
      <x:c r="N1" t="str">
        <x:v>Follow-up Date</x:v>
      </x:c>
      <x:c r="O1" t="str">
        <x:v>Evidence</x:v>
      </x:c>
      <x:c r="P1" t="str">
        <x:v>Notes</x:v>
      </x:c>
    </x:row>
    <x:row r="2">
      <x:c r="A2" t="str">
        <x:v>C10K-000</x:v>
      </x:c>
      <x:c r="B2" t="str">
        <x:v>2026-05-08</x:v>
      </x:c>
      <x:c r="C2" t="str">
        <x:v>Codex10k</x:v>
      </x:c>
      <x:c r="D2" t="str">
        <x:v>Internal</x:v>
      </x:c>
      <x:c r="E2"/>
      <x:c r="F2"/>
      <x:c r="G2"/>
      <x:c r="H2"/>
      <x:c r="I2" t="str">
        <x:v>Run setup</x:v>
      </x:c>
      <x:c r="J2" t="str">
        <x:v>10-Day Workflow Revenue Recovery Sprint</x:v>
      </x:c>
      <x:c r="K2" t="str">
        <x:v>initialized</x:v>
      </x:c>
      <x:c r="L2" t="str">
        <x:v>2026-05-08</x:v>
      </x:c>
      <x:c r="M2" t="str">
        <x:v>Begin fresh lead sourcing</x:v>
      </x:c>
      <x:c r="N2"/>
      <x:c r="O2" t="str">
        <x:v>docs/research.md</x:v>
      </x:c>
      <x:c r="P2" t="str">
        <x:v>Do not mix with prior Revenue Run labels</x:v>
      </x:c>
    </x:row>
    <x:row r="3">
      <x:c r="A3" t="str">
        <x:v>C10K-001</x:v>
      </x:c>
      <x:c r="B3" t="str">
        <x:v>2026-05-08</x:v>
      </x:c>
      <x:c r="C3" t="str">
        <x:v>Codex10k</x:v>
      </x:c>
      <x:c r="D3" t="str">
        <x:v>Creative Fabrica</x:v>
      </x:c>
      <x:c r="E3"/>
      <x:c r="F3" t="str">
        <x:v>Greenhouse / Reddit</x:v>
      </x:c>
      <x:c r="G3" t="str">
        <x:v>https://job-boards.eu.greenhouse.io/creativefabrica/jobs/4807276101</x:v>
      </x:c>
      <x:c r="H3" t="str">
        <x:v>Ecommerce / marketing ops</x:v>
      </x:c>
      <x:c r="I3" t="str">
        <x:v>Needs AI workflows for email operations, content pipelines, campaign execution, optimization, and HITL governance</x:v>
      </x:c>
      <x:c r="J3" t="str">
        <x:v>Workflow Revenue Recovery Sprint</x:v>
      </x:c>
      <x:c r="K3" t="str">
        <x:v>hold_employment_style</x:v>
      </x:c>
      <x:c r="L3" t="str">
        <x:v>2026-05-08</x:v>
      </x:c>
      <x:c r="M3" t="str">
        <x:v>Do not apply as a job; pursue only if a fixed-scope vendor/project contact path appears</x:v>
      </x:c>
      <x:c r="N3" t="str">
        <x:v>2026-05-09</x:v>
      </x:c>
      <x:c r="O3" t="str">
        <x:v>docs/opportunity-log.md</x:v>
      </x:c>
      <x:c r="P3" t="str">
        <x:v>Recent public job post but requires personal application details and likely employee-style involvement</x:v>
      </x:c>
    </x:row>
    <x:row r="4">
      <x:c r="A4" t="str">
        <x:v>C10K-002</x:v>
      </x:c>
      <x:c r="B4" t="str">
        <x:v>2026-05-08</x:v>
      </x:c>
      <x:c r="C4" t="str">
        <x:v>Codex10k</x:v>
      </x:c>
      <x:c r="D4" t="str">
        <x:v>GCS</x:v>
      </x:c>
      <x:c r="E4" t="str">
        <x:v>mohammed.k@gc-ti.com</x:v>
      </x:c>
      <x:c r="F4" t="str">
        <x:v>Public hiring email</x:v>
      </x:c>
      <x:c r="G4" t="str">
        <x:v>https://community.n8n.io/t/hiring-we-are-looking-for-a-n8n-automation-expert-to-build-ai-agent-workflows-freelance/132551</x:v>
      </x:c>
      <x:c r="H4" t="str">
        <x:v>AI workflow / document automation</x:v>
      </x:c>
      <x:c r="I4" t="str">
        <x:v>Asked for n8n multi-agent workflow developer to ingest and analyze documents and generate downstream AI prompts</x:v>
      </x:c>
      <x:c r="J4" t="str">
        <x:v>10-Day Workflow Revenue Recovery Sprint</x:v>
      </x:c>
      <x:c r="K4" t="str">
        <x:v>contacted_fixed_scope</x:v>
      </x:c>
      <x:c r="L4" t="str">
        <x:v>2026-05-08</x:v>
      </x:c>
      <x:c r="M4" t="str">
        <x:v>Watch for reply; if positive, request anonymized sample docs and scope paid triage</x:v>
      </x:c>
      <x:c r="N4" t="str">
        <x:v>2026-05-10</x:v>
      </x:c>
      <x:c r="O4" t="str">
        <x:v>gmail:19e08e71637b72c1</x:v>
      </x:c>
      <x:c r="P4" t="str">
        <x:v>Clarified this is not employment; Codex10k offers a done-for-you fixed-scope build</x:v>
      </x:c>
    </x:row>
    <x:row r="5">
      <x:c r="A5" t="str">
        <x:v>C10K-003</x:v>
      </x:c>
      <x:c r="B5" t="str">
        <x:v>2026-05-08</x:v>
      </x:c>
      <x:c r="C5" t="str">
        <x:v>Codex10k</x:v>
      </x:c>
      <x:c r="D5" t="str">
        <x:v>Talents Team</x:v>
      </x:c>
      <x:c r="E5"/>
      <x:c r="F5" t="str">
        <x:v>Make Community</x:v>
      </x:c>
      <x:c r="G5" t="str">
        <x:v>https://community.make.com/t/hiring-make-com-http-make-com-automation-engineer-contract-part-time/103508</x:v>
      </x:c>
      <x:c r="H5" t="str">
        <x:v>Automation contractor</x:v>
      </x:c>
      <x:c r="I5" t="str">
        <x:v>Needs Make scenarios, routers, scheduling, error handling, APIs, data mapping, docs, troubleshooting</x:v>
      </x:c>
      <x:c r="J5" t="str">
        <x:v>Workflow Triage</x:v>
      </x:c>
      <x:c r="K5" t="str">
        <x:v>qualified</x:v>
      </x:c>
      <x:c r="L5" t="str">
        <x:v>2026-05-08</x:v>
      </x:c>
      <x:c r="M5" t="str">
        <x:v>Apply via Make Community DM if account access is available</x:v>
      </x:c>
      <x:c r="N5" t="str">
        <x:v>2026-05-09</x:v>
      </x:c>
      <x:c r="O5" t="str">
        <x:v>docs/opportunity-log.md</x:v>
      </x:c>
      <x:c r="P5" t="str">
        <x:v>No direct email visible; avoid scraping or bypassing platform</x:v>
      </x:c>
    </x:row>
    <x:row r="6">
      <x:c r="A6" t="str">
        <x:v>C10K-004</x:v>
      </x:c>
      <x:c r="B6" t="str">
        <x:v>2026-05-08</x:v>
      </x:c>
      <x:c r="C6" t="str">
        <x:v>Codex10k</x:v>
      </x:c>
      <x:c r="D6" t="str">
        <x:v>Creative Fabrica Reddit poster</x:v>
      </x:c>
      <x:c r="E6"/>
      <x:c r="F6" t="str">
        <x:v>Reddit</x:v>
      </x:c>
      <x:c r="G6" t="str">
        <x:v>https://www.reddit.com/r/n8n/comments/1t49b3r/hiring_ai_marketing_specialist_agentic_ai/</x:v>
      </x:c>
      <x:c r="H6" t="str">
        <x:v>B2C marketing automation</x:v>
      </x:c>
      <x:c r="I6" t="str">
        <x:v>Poster confirmed freelancers may be considered if similar timezone and experience at needed scale</x:v>
      </x:c>
      <x:c r="J6" t="str">
        <x:v>Workflow Triage</x:v>
      </x:c>
      <x:c r="K6" t="str">
        <x:v>hold_employment_style</x:v>
      </x:c>
      <x:c r="L6" t="str">
        <x:v>2026-05-08</x:v>
      </x:c>
      <x:c r="M6" t="str">
        <x:v>Do not apply as job; only pursue if vendor/project path appears</x:v>
      </x:c>
      <x:c r="N6" t="str">
        <x:v>2026-05-09</x:v>
      </x:c>
      <x:c r="O6" t="str">
        <x:v>docs/opportunity-log.md</x:v>
      </x:c>
      <x:c r="P6" t="str">
        <x:v>Do not message via bots or scraped contact data</x:v>
      </x:c>
    </x:row>
    <x:row r="7">
      <x:c r="A7" t="str">
        <x:v>C10K-005</x:v>
      </x:c>
      <x:c r="B7" t="str">
        <x:v>2026-05-09</x:v>
      </x:c>
      <x:c r="C7" t="str">
        <x:v>Codex10k</x:v>
      </x:c>
      <x:c r="D7" t="str">
        <x:v>Callee AI Solutions</x:v>
      </x:c>
      <x:c r="E7" t="str">
        <x:v>CalleeAIsolutions@gmail.com</x:v>
      </x:c>
      <x:c r="F7" t="str">
        <x:v>Skool public post</x:v>
      </x:c>
      <x:c r="G7" t="str">
        <x:v>https://www.skool.com/brendan/hiring-n8n-automation-engineer</x:v>
      </x:c>
      <x:c r="H7" t="str">
        <x:v>Voice AI agency automation</x:v>
      </x:c>
      <x:c r="I7" t="str">
        <x:v>Agency has client surge and needs n8n/API automation layer for bookings, outreach, lead gen, and internal ops</x:v>
      </x:c>
      <x:c r="J7" t="str">
        <x:v>10-Day Workflow Revenue Recovery Sprint</x:v>
      </x:c>
      <x:c r="K7" t="str">
        <x:v>contacted_fixed_scope</x:v>
      </x:c>
      <x:c r="L7" t="str">
        <x:v>2026-05-09</x:v>
      </x:c>
      <x:c r="M7" t="str">
        <x:v>Watch for reply; if positive, request anonymized input/output and scope paid milestone</x:v>
      </x:c>
      <x:c r="N7" t="str">
        <x:v>2026-05-11</x:v>
      </x:c>
      <x:c r="O7" t="str">
        <x:v>gmail:19e08eb2da5715f2</x:v>
      </x:c>
      <x:c r="P7" t="str">
        <x:v>Sent done-for-you fixed-scope build offer; no employee-role framing</x:v>
      </x:c>
    </x:row>
    <x:row r="8">
      <x:c r="A8" t="str">
        <x:v>C10K-006</x:v>
      </x:c>
      <x:c r="B8" t="str">
        <x:v>2026-05-09</x:v>
      </x:c>
      <x:c r="C8" t="str">
        <x:v>Codex10k</x:v>
      </x:c>
      <x:c r="D8" t="str">
        <x:v>Strive Digital</x:v>
      </x:c>
      <x:c r="E8" t="str">
        <x:v>bruno@strive-digital.com</x:v>
      </x:c>
      <x:c r="F8" t="str">
        <x:v>LinkedIn public post</x:v>
      </x:c>
      <x:c r="G8" t="str">
        <x:v>https://br.linkedin.com/company/strivedigitall</x:v>
      </x:c>
      <x:c r="H8" t="str">
        <x:v>Outbound lead-gen / data ops</x:v>
      </x:c>
      <x:c r="I8" t="str">
        <x:v>Needs main database plus per-client sheet workflow with duplicate prevention and client-specific statuses</x:v>
      </x:c>
      <x:c r="J8" t="str">
        <x:v>10-Day Workflow Revenue Recovery Sprint</x:v>
      </x:c>
      <x:c r="K8" t="str">
        <x:v>contacted_fixed_scope</x:v>
      </x:c>
      <x:c r="L8" t="str">
        <x:v>2026-05-09</x:v>
      </x:c>
      <x:c r="M8" t="str">
        <x:v>Watch for reply; if positive, request anonymized main DB and 2 client sheets</x:v>
      </x:c>
      <x:c r="N8" t="str">
        <x:v>2026-05-11</x:v>
      </x:c>
      <x:c r="O8" t="str">
        <x:v>gmail:19e08eb918b791a3</x:v>
      </x:c>
      <x:c r="P8" t="str">
        <x:v>Sent fixed-scope project proposal around their exact data synchronization problem</x:v>
      </x:c>
    </x:row>
    <x:row r="9">
      <x:c r="A9" t="str">
        <x:v>C10K-007</x:v>
      </x:c>
      <x:c r="B9" t="str">
        <x:v>2026-05-09</x:v>
      </x:c>
      <x:c r="C9" t="str">
        <x:v>Codex10k</x:v>
      </x:c>
      <x:c r="D9" t="str">
        <x:v>Bluestork AI</x:v>
      </x:c>
      <x:c r="E9" t="str">
        <x:v>contact.bluestork.ai@gmail.com</x:v>
      </x:c>
      <x:c r="F9" t="str">
        <x:v>Reddit public post</x:v>
      </x:c>
      <x:c r="G9" t="str">
        <x:v>https://www.reddit.com/r/n8n/comments/1nnhboj</x:v>
      </x:c>
      <x:c r="H9" t="str">
        <x:v>AI floor-plan workflow</x:v>
      </x:c>
      <x:c r="I9" t="str">
        <x:v>Wants n8n workflow for contractors to upload floor plans and receive structured room/surface measurements</x:v>
      </x:c>
      <x:c r="J9" t="str">
        <x:v>10-Day Workflow Revenue Recovery Sprint</x:v>
      </x:c>
      <x:c r="K9" t="str">
        <x:v>contacted_fixed_scope</x:v>
      </x:c>
      <x:c r="L9" t="str">
        <x:v>2026-05-09</x:v>
      </x:c>
      <x:c r="M9" t="str">
        <x:v>Watch for reply; if positive, request 2-3 anonymized floor plans and target output format</x:v>
      </x:c>
      <x:c r="N9" t="str">
        <x:v>2026-05-11</x:v>
      </x:c>
      <x:c r="O9" t="str">
        <x:v>gmail:19e08ebf205599ce</x:v>
      </x:c>
      <x:c r="P9" t="str">
        <x:v>Sent fixed-scope milestone offer for upload/extraction/review/output workflow</x:v>
      </x:c>
    </x:row>
    <x:row r="10">
      <x:c r="A10" t="str">
        <x:v>C10K-008</x:v>
      </x:c>
      <x:c r="B10" t="str">
        <x:v>2026-05-09</x:v>
      </x:c>
      <x:c r="C10" t="str">
        <x:v>Codex10k</x:v>
      </x:c>
      <x:c r="D10" t="str">
        <x:v>Shilling Strategy Consulting</x:v>
      </x:c>
      <x:c r="E10" t="str">
        <x:v>keerthivasan@shillingstrategyconsulting.com</x:v>
      </x:c>
      <x:c r="F10" t="str">
        <x:v>LinkedIn public post</x:v>
      </x:c>
      <x:c r="G10" t="str">
        <x:v>https://in.linkedin.com/company/shilling-strategy-consulting-ssc</x:v>
      </x:c>
      <x:c r="H10" t="str">
        <x:v>Consulting / workflow automation</x:v>
      </x:c>
      <x:c r="I10" t="str">
        <x:v>Public post asked for N8N automation freelancer with workflow integrations and scalable automation systems</x:v>
      </x:c>
      <x:c r="J10" t="str">
        <x:v>10-Day Workflow Revenue Recovery Sprint</x:v>
      </x:c>
      <x:c r="K10" t="str">
        <x:v>contacted_fixed_scope</x:v>
      </x:c>
      <x:c r="L10" t="str">
        <x:v>2026-05-09</x:v>
      </x:c>
      <x:c r="M10" t="str">
        <x:v>Watch for reply; if positive, request one workflow plus 5-10 sample records/screenshots</x:v>
      </x:c>
      <x:c r="N10" t="str">
        <x:v>2026-05-11</x:v>
      </x:c>
      <x:c r="O10" t="str">
        <x:v>gmail:19e08ec44f776529</x:v>
      </x:c>
      <x:c r="P10" t="str">
        <x:v>Sent done-for-you fixed-scope build offer with demo link</x:v>
      </x:c>
    </x:row>
    <x:row r="11">
      <x:c r="A11" t="str">
        <x:v>C10K-009</x:v>
      </x:c>
      <x:c r="B11" t="str">
        <x:v>2026-05-09</x:v>
      </x:c>
      <x:c r="C11" t="str">
        <x:v>Codex10k</x:v>
      </x:c>
      <x:c r="D11" t="str">
        <x:v>RestaurantFlow OS</x:v>
      </x:c>
      <x:c r="E11" t="str">
        <x:v>heldermiranda96@gmail.com</x:v>
      </x:c>
      <x:c r="F11" t="str">
        <x:v>n8n Community public post</x:v>
      </x:c>
      <x:c r="G11" t="str">
        <x:v>https://community.n8n.io/t/hiring-automation-engineer-wanted-n8n-core-role-restaurant-tech-startup/292053</x:v>
      </x:c>
      <x:c r="H11" t="str">
        <x:v>Restaurant revenue automation</x:v>
      </x:c>
      <x:c r="I11" t="str">
        <x:v>Needs production n8n workflows for OpenTable/SevenRooms booking data, Supabase, GHL, Printnode, multi-tenant idempotency, HMAC validation, and error handling</x:v>
      </x:c>
      <x:c r="J11" t="str">
        <x:v>Fixed-scope RestaurantFlow workflow build</x:v>
      </x:c>
      <x:c r="K11" t="str">
        <x:v>contacted_fixed_scope</x:v>
      </x:c>
      <x:c r="L11" t="str">
        <x:v>2026-05-09</x:v>
      </x:c>
      <x:c r="M11" t="str">
        <x:v>Watch for reply; if positive, request smallest workflow group, payload examples, and Supabase table shape</x:v>
      </x:c>
      <x:c r="N11" t="str">
        <x:v>2026-05-11</x:v>
      </x:c>
      <x:c r="O11" t="str">
        <x:v>gmail:19e08f2811f81844</x:v>
      </x:c>
      <x:c r="P11" t="str">
        <x:v>Sent USD 2500 fixed first-workflow-group offer; framed around test environment and acceptance checks</x:v>
      </x:c>
    </x:row>
    <x:row r="12">
      <x:c r="A12" t="str">
        <x:v>C10K-010</x:v>
      </x:c>
      <x:c r="B12" t="str">
        <x:v>2026-05-09</x:v>
      </x:c>
      <x:c r="C12" t="str">
        <x:v>Codex10k</x:v>
      </x:c>
      <x:c r="D12" t="str">
        <x:v>SPAudio</x:v>
      </x:c>
      <x:c r="E12" t="str">
        <x:v>tech@spaudio.it</x:v>
      </x:c>
      <x:c r="F12" t="str">
        <x:v>n8n Community public post</x:v>
      </x:c>
      <x:c r="G12" t="str">
        <x:v>https://community.n8n.io/t/seeking-experienced-freelance-n8n-automation-expert/207669</x:v>
      </x:c>
      <x:c r="H12" t="str">
        <x:v>Audio / operational automation</x:v>
      </x:c>
      <x:c r="I12" t="str">
        <x:v>Needs freelance support for self-hosted n8n setup, production workflows, complex API integrations, daily support, and optimization</x:v>
      </x:c>
      <x:c r="J12" t="str">
        <x:v>n8n stabilization sprint</x:v>
      </x:c>
      <x:c r="K12" t="str">
        <x:v>contacted_fixed_scope</x:v>
      </x:c>
      <x:c r="L12" t="str">
        <x:v>2026-05-09</x:v>
      </x:c>
      <x:c r="M12" t="str">
        <x:v>Watch for reply; if positive, request top failing workflow, apps/APIs involved, and hosting mode</x:v>
      </x:c>
      <x:c r="N12" t="str">
        <x:v>2026-05-11</x:v>
      </x:c>
      <x:c r="O12" t="str">
        <x:v>gmail:19e08f2a422b2929</x:v>
      </x:c>
      <x:c r="P12" t="str">
        <x:v>Sent USD 1800 fixed stabilization package offer for one priority workflow/integration plus operator guide</x:v>
      </x:c>
    </x:row>
    <x:row r="13">
      <x:c r="A13" t="str">
        <x:v>C10K-011</x:v>
      </x:c>
      <x:c r="B13" t="str">
        <x:v>2026-05-09</x:v>
      </x:c>
      <x:c r="C13" t="str">
        <x:v>Codex10k</x:v>
      </x:c>
      <x:c r="D13" t="str">
        <x:v>PristinePro Technologies</x:v>
      </x:c>
      <x:c r="E13" t="str">
        <x:v>careers@pristineprotech.com</x:v>
      </x:c>
      <x:c r="F13" t="str">
        <x:v>Reddit public post / company site</x:v>
      </x:c>
      <x:c r="G13" t="str">
        <x:v>https://www.reddit.com/r/n8n/comments/1p03o0g/looking_for_n8n_developer_with_2_years_of/</x:v>
      </x:c>
      <x:c r="H13" t="str">
        <x:v>AI automation consultancy</x:v>
      </x:c>
      <x:c r="I13" t="str">
        <x:v>Public post asked for n8n AI agent help; company site shows AI automation work around transcription, media processing, and document updates</x:v>
      </x:c>
      <x:c r="J13" t="str">
        <x:v>Fixed-scope n8n AI agent build</x:v>
      </x:c>
      <x:c r="K13" t="str">
        <x:v>contacted_fixed_scope</x:v>
      </x:c>
      <x:c r="L13" t="str">
        <x:v>2026-05-09</x:v>
      </x:c>
      <x:c r="M13" t="str">
        <x:v>Watch for reply; if positive, request one workflow and 5-10 anonymized sample records/screenshots</x:v>
      </x:c>
      <x:c r="N13" t="str">
        <x:v>2026-05-11</x:v>
      </x:c>
      <x:c r="O13" t="str">
        <x:v>gmail:19e08f2c2d25180a</x:v>
      </x:c>
      <x:c r="P13" t="str">
        <x:v>Sent USD 1500-2500 fixed workflow offer; no employee-role framing</x:v>
      </x:c>
    </x:row>
    <x:row r="14">
      <x:c r="A14" t="str">
        <x:v>C10K-012</x:v>
      </x:c>
      <x:c r="B14" t="str">
        <x:v>2026-05-09</x:v>
      </x:c>
      <x:c r="C14" t="str">
        <x:v>Codex10k</x:v>
      </x:c>
      <x:c r="D14" t="str">
        <x:v>Noevo</x:v>
      </x:c>
      <x:c r="E14" t="str">
        <x:v>io@noevo.io</x:v>
      </x:c>
      <x:c r="F14" t="str">
        <x:v>LinkedIn public post / company site</x:v>
      </x:c>
      <x:c r="G14" t="str">
        <x:v>https://lk.linkedin.com/jobs/view/n8n-%2B-ai-automation-assistant-part-time-at-noevo-io-4347043760</x:v>
      </x:c>
      <x:c r="H14" t="str">
        <x:v>EdTech operations automation</x:v>
      </x:c>
      <x:c r="I14" t="str">
        <x:v>Public posting described n8n and AI automation needs for AI-powered student counselor platform; site shows application support and document checklist workflows</x:v>
      </x:c>
      <x:c r="J14" t="str">
        <x:v>Fixed-scope Noevo operations workflow build</x:v>
      </x:c>
      <x:c r="K14" t="str">
        <x:v>contacted_fixed_scope</x:v>
      </x:c>
      <x:c r="L14" t="str">
        <x:v>2026-05-09</x:v>
      </x:c>
      <x:c r="M14" t="str">
        <x:v>Watch for reply; if positive, request one workflow and anonymized input/output examples</x:v>
      </x:c>
      <x:c r="N14" t="str">
        <x:v>2026-05-11</x:v>
      </x:c>
      <x:c r="O14" t="str">
        <x:v>gmail:19e08f2e136045e9</x:v>
      </x:c>
      <x:c r="P14" t="str">
        <x:v>Sent USD 1500 fixed workflow offer for intake, checklist, routing, reminders, or reporting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Assumption</x:v>
      </x:c>
      <x:c r="B1" t="str">
        <x:v>Value</x:v>
      </x:c>
      <x:c r="C1" t="str">
        <x:v>Source</x:v>
      </x:c>
      <x:c r="D1" t="str">
        <x:v>Notes</x:v>
      </x:c>
    </x:row>
    <x:row r="2">
      <x:c r="A2" t="str">
        <x:v>Stripe U.S. domestic card fee</x:v>
      </x:c>
      <x:c r="B2" t="str">
        <x:v>2.9% + $0.30</x:v>
      </x:c>
      <x:c r="C2" t="str">
        <x:v>https://stripe.com/us/pricing</x:v>
      </x:c>
      <x:c r="D2" t="str">
        <x:v>Use actual fee evidence when available</x:v>
      </x:c>
    </x:row>
    <x:row r="3">
      <x:c r="A3" t="str">
        <x:v>Upwork freelancer service fee</x:v>
      </x:c>
      <x:c r="B3" t="str">
        <x:v>0%-15%</x:v>
      </x:c>
      <x:c r="C3" t="str">
        <x:v>https://support.upwork.com/hc/en-us/articles/211062538-Freelancer-Service-Fee</x:v>
      </x:c>
      <x:c r="D3" t="str">
        <x:v>Varies by contract</x:v>
      </x:c>
    </x:row>
    <x:row r="4">
      <x:c r="A4" t="str">
        <x:v>Upwork Connects</x:v>
      </x:c>
      <x:c r="B4" t="str">
        <x:v>$0.15 each</x:v>
      </x:c>
      <x:c r="C4" t="str">
        <x:v>https://support.upwork.com/hc/en-us/articles/34955398999699-Connects</x:v>
      </x:c>
      <x:c r="D4" t="str">
        <x:v>Treat as direct cost if used</x:v>
      </x:c>
    </x:row>
    <x:row r="5">
      <x:c r="A5" t="str">
        <x:v>Cold commercial email</x:v>
      </x:c>
      <x:c r="B5" t="str">
        <x:v>Requires CAN-SPAM compliance</x:v>
      </x:c>
      <x:c r="C5" t="str">
        <x:v>https://www.ftc.gov/business-guidance/resources/can-spam-act-compliance-guide-business</x:v>
      </x:c>
      <x:c r="D5" t="str">
        <x:v>Avoid cold email until postal address is available</x:v>
      </x:c>
    </x:row>
    <x:row r="6">
      <x:c r="A6" t="str">
        <x:v>Primary channel</x:v>
      </x:c>
      <x:c r="B6" t="str">
        <x:v>Public hiring posts + communities</x:v>
      </x:c>
      <x:c r="C6" t="str">
        <x:v>docs/research.md</x:v>
      </x:c>
      <x:c r="D6" t="str">
        <x:v>Buyer-intent first</x:v>
      </x:c>
    </x:row>
    <x:row r="7">
      <x:c r="A7" t="str">
        <x:v>Primary price</x:v>
      </x:c>
      <x:c r="B7" t="str">
        <x:v>$4,800-$7,500</x:v>
      </x:c>
      <x:c r="C7" t="str">
        <x:v>docs/offer.md</x:v>
      </x:c>
      <x:c r="D7" t="str">
        <x:v>Fixed-scope sprint</x:v>
      </x:c>
    </x:row>
    <x:row r="8">
      <x:c r="A8" t="str">
        <x:v>Retainer</x:v>
      </x:c>
      <x:c r="B8" t="str">
        <x:v>$750-$1,500/mo</x:v>
      </x:c>
      <x:c r="C8" t="str">
        <x:v>docs/offer.md</x:v>
      </x:c>
      <x:c r="D8" t="str">
        <x:v>Optional after launch</x:v>
      </x:c>
    </x:row>
    <x:row r="9">
      <x:c r="A9" t="str">
        <x:v>Direct costs policy</x:v>
      </x:c>
      <x:c r="B9" t="str">
        <x:v>Approved before use</x:v>
      </x:c>
      <x:c r="C9" t="str">
        <x:v>docs/payment-flow.md</x:v>
      </x:c>
      <x:c r="D9" t="str">
        <x:v>Subtract all costs from net profit</x:v>
      </x:c>
    </x:row>
  </x:sheetData>
  <x:pageMargins left="0.7" right="0.7" top="0.75" bottom="0.75" header="0.3" footer="0.3"/>
</x:worksheet>
</file>