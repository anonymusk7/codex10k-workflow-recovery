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86413a66f64ae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a1496c41dbe44b7d"/>
    <x:sheet xmlns:r="http://schemas.openxmlformats.org/officeDocument/2006/relationships" name="Ledger" sheetId="2" r:id="R4331941d22134198"/>
    <x:sheet xmlns:r="http://schemas.openxmlformats.org/officeDocument/2006/relationships" name="Prospects" sheetId="3" r:id="R2d3a6b4ba3974b2b"/>
    <x:sheet xmlns:r="http://schemas.openxmlformats.org/officeDocument/2006/relationships" name="Assumptions" sheetId="4" r:id="Rf6ae5f6726274eb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>
      <x:sz val="11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cddc902e8b41f7" /><Relationship Type="http://schemas.openxmlformats.org/officeDocument/2006/relationships/theme" Target="/xl/theme/theme1.xml" Id="Rbe03f44ffb9e4eed" /><Relationship Type="http://schemas.openxmlformats.org/officeDocument/2006/relationships/sharedStrings" Target="/xl/sharedStrings.xml" Id="R9d39d453b66d4425" /><Relationship Type="http://schemas.openxmlformats.org/officeDocument/2006/relationships/worksheet" Target="/xl/worksheets/sheet1.xml" Id="Ra1496c41dbe44b7d" /><Relationship Type="http://schemas.openxmlformats.org/officeDocument/2006/relationships/worksheet" Target="/xl/worksheets/sheet2.xml" Id="R4331941d22134198" /><Relationship Type="http://schemas.openxmlformats.org/officeDocument/2006/relationships/worksheet" Target="/xl/worksheets/sheet3.xml" Id="R2d3a6b4ba3974b2b" /><Relationship Type="http://schemas.openxmlformats.org/officeDocument/2006/relationships/worksheet" Target="/xl/worksheets/sheet4.xml" Id="Rf6ae5f6726274eb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t="str">
        <x:v>Codex10k Verified Profit Dashboard</x:v>
      </x:c>
      <x:c r="B1" t="str"/>
      <x:c r="C1" t="str"/>
      <x:c r="D1" t="str"/>
      <x:c r="E1" t="str"/>
      <x:c r="F1" t="str"/>
    </x:row>
    <x:row r="3">
      <x:c r="A3" t="str">
        <x:v>Goal</x:v>
      </x:c>
      <x:c r="B3" t="n">
        <x:v>10000</x:v>
      </x:c>
      <x:c r="D3" t="str">
        <x:v>Run Label</x:v>
      </x:c>
      <x:c r="E3" t="str">
        <x:v>Codex10k</x:v>
      </x:c>
      <x:c r="F3" t="str"/>
    </x:row>
    <x:row r="4">
      <x:c r="A4" t="str">
        <x:v>Verified Net Profit</x:v>
      </x:c>
      <x:c r="B4" t="n">
        <x:v>0</x:v>
      </x:c>
      <x:c r="D4" t="str">
        <x:v>Primary Offer</x:v>
      </x:c>
      <x:c r="E4" t="str">
        <x:v>10-Day Workflow Revenue Recovery Sprint</x:v>
      </x:c>
      <x:c r="F4" t="str"/>
    </x:row>
    <x:row r="5">
      <x:c r="A5" t="str">
        <x:v>Remaining</x:v>
      </x:c>
      <x:c r="B5" t="n">
        <x:f>B3-B4</x:f>
        <x:v>10000</x:v>
      </x:c>
      <x:c r="D5" t="str">
        <x:v>Target Close Pattern</x:v>
      </x:c>
      <x:c r="E5" t="str">
        <x:v>2 sprint clients at $6k+ or 3 at $4.8k</x:v>
      </x:c>
      <x:c r="F5" t="str"/>
    </x:row>
    <x:row r="6">
      <x:c r="A6" t="str">
        <x:v>Gross Settled Revenue</x:v>
      </x:c>
      <x:c r="B6" t="n">
        <x:v>0</x:v>
      </x:c>
      <x:c r="D6" t="str">
        <x:v>Payment Evidence</x:v>
      </x:c>
      <x:c r="E6" t="str">
        <x:v>Invoice, transaction ID, payout proof, fee receipt</x:v>
      </x:c>
      <x:c r="F6" t="str"/>
    </x:row>
    <x:row r="7">
      <x:c r="A7" t="str">
        <x:v>Fees + Costs + Refunds</x:v>
      </x:c>
      <x:c r="B7" t="n">
        <x:v>0</x:v>
      </x:c>
      <x:c r="D7" t="str">
        <x:v>Rule</x:v>
      </x:c>
      <x:c r="E7" t="str">
        <x:v>Count settled revenue only</x:v>
      </x:c>
      <x:c r="F7" t="str"/>
    </x:row>
    <x:row r="8">
      <x:c r="A8" t="str">
        <x:v>Qualified Prospects</x:v>
      </x:c>
      <x:c r="B8" t="n">
        <x:f>COUNTA(Prospects!A2:A200)</x:f>
        <x:v>5</x:v>
      </x:c>
    </x:row>
    <x:row r="9">
      <x:c r="A9" t="str">
        <x:v>Interested Prospects</x:v>
      </x:c>
      <x:c r="B9" t="n">
        <x:f>COUNTIF(Prospects!G2:G200,"Interested")</x:f>
        <x:v>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t="str">
        <x:v>Date</x:v>
      </x:c>
      <x:c r="B1" t="str">
        <x:v>Event ID</x:v>
      </x:c>
      <x:c r="C1" t="str">
        <x:v>Counterparty</x:v>
      </x:c>
      <x:c r="D1" t="str">
        <x:v>Channel</x:v>
      </x:c>
      <x:c r="E1" t="str">
        <x:v>Description</x:v>
      </x:c>
      <x:c r="F1" t="str">
        <x:v>Gross Revenue</x:v>
      </x:c>
      <x:c r="G1" t="str">
        <x:v>Payment Fees</x:v>
      </x:c>
      <x:c r="H1" t="str">
        <x:v>Platform Fees</x:v>
      </x:c>
      <x:c r="I1" t="str">
        <x:v>Direct Costs</x:v>
      </x:c>
      <x:c r="J1" t="str">
        <x:v>Refunds</x:v>
      </x:c>
      <x:c r="K1" t="str">
        <x:v>Net Profit</x:v>
      </x:c>
      <x:c r="L1" t="str">
        <x:v>Status</x:v>
      </x:c>
      <x:c r="M1" t="str">
        <x:v>Transaction ID</x:v>
      </x:c>
      <x:c r="N1" t="str">
        <x:v>Evidence URI</x:v>
      </x:c>
      <x:c r="O1" t="str">
        <x:v>Notes</x:v>
      </x:c>
    </x:row>
    <x:row r="2">
      <x:c r="A2" t="str">
        <x:v>2026-05-08</x:v>
      </x:c>
      <x:c r="B2" t="str">
        <x:v>LEDGER-000</x:v>
      </x:c>
      <x:c r="C2" t="str">
        <x:v>Internal</x:v>
      </x:c>
      <x:c r="D2" t="str">
        <x:v>Workspace</x:v>
      </x:c>
      <x:c r="E2" t="str">
        <x:v>Codex10k ledger initialized</x:v>
      </x:c>
      <x:c r="F2" t="n">
        <x:v>0</x:v>
      </x:c>
      <x:c r="G2" t="n">
        <x:v>0</x:v>
      </x:c>
      <x:c r="H2" t="n">
        <x:v>0</x:v>
      </x:c>
      <x:c r="I2" t="n">
        <x:v>0</x:v>
      </x:c>
      <x:c r="J2" t="n">
        <x:v>0</x:v>
      </x:c>
      <x:c r="K2" t="n">
        <x:f>F2-G2-H2-I2-J2</x:f>
        <x:v>0</x:v>
      </x:c>
      <x:c r="L2" t="str">
        <x:v>initialized</x:v>
      </x:c>
      <x:c r="M2"/>
      <x:c r="N2" t="str">
        <x:v>docs/research.md</x:v>
      </x:c>
      <x:c r="O2" t="str">
        <x:v>No verified revenue yet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t="str">
        <x:v>Lead ID</x:v>
      </x:c>
      <x:c r="B1" t="str">
        <x:v>Created</x:v>
      </x:c>
      <x:c r="C1" t="str">
        <x:v>Label Namespace</x:v>
      </x:c>
      <x:c r="D1" t="str">
        <x:v>Company</x:v>
      </x:c>
      <x:c r="E1" t="str">
        <x:v>Contact</x:v>
      </x:c>
      <x:c r="F1" t="str">
        <x:v>Channel</x:v>
      </x:c>
      <x:c r="G1" t="str">
        <x:v>Source URL</x:v>
      </x:c>
      <x:c r="H1" t="str">
        <x:v>Segment</x:v>
      </x:c>
      <x:c r="I1" t="str">
        <x:v>Problem Hypothesis</x:v>
      </x:c>
      <x:c r="J1" t="str">
        <x:v>Offer</x:v>
      </x:c>
      <x:c r="K1" t="str">
        <x:v>Status</x:v>
      </x:c>
      <x:c r="L1" t="str">
        <x:v>Last Touch</x:v>
      </x:c>
      <x:c r="M1" t="str">
        <x:v>Next Action</x:v>
      </x:c>
      <x:c r="N1" t="str">
        <x:v>Follow-up Date</x:v>
      </x:c>
      <x:c r="O1" t="str">
        <x:v>Evidence</x:v>
      </x:c>
      <x:c r="P1" t="str">
        <x:v>Notes</x:v>
      </x:c>
    </x:row>
    <x:row r="2">
      <x:c r="A2" t="str">
        <x:v>C10K-000</x:v>
      </x:c>
      <x:c r="B2" t="str">
        <x:v>2026-05-08</x:v>
      </x:c>
      <x:c r="C2" t="str">
        <x:v>Codex10k</x:v>
      </x:c>
      <x:c r="D2" t="str">
        <x:v>Internal</x:v>
      </x:c>
      <x:c r="E2"/>
      <x:c r="F2"/>
      <x:c r="G2"/>
      <x:c r="H2"/>
      <x:c r="I2" t="str">
        <x:v>Run setup</x:v>
      </x:c>
      <x:c r="J2" t="str">
        <x:v>10-Day Workflow Revenue Recovery Sprint</x:v>
      </x:c>
      <x:c r="K2" t="str">
        <x:v>initialized</x:v>
      </x:c>
      <x:c r="L2" t="str">
        <x:v>2026-05-08</x:v>
      </x:c>
      <x:c r="M2" t="str">
        <x:v>Begin fresh lead sourcing</x:v>
      </x:c>
      <x:c r="N2"/>
      <x:c r="O2" t="str">
        <x:v>docs/research.md</x:v>
      </x:c>
      <x:c r="P2" t="str">
        <x:v>Do not mix with prior Revenue Run labels</x:v>
      </x:c>
    </x:row>
    <x:row r="3">
      <x:c r="A3" t="str">
        <x:v>C10K-001</x:v>
      </x:c>
      <x:c r="B3" t="str">
        <x:v>2026-05-08</x:v>
      </x:c>
      <x:c r="C3" t="str">
        <x:v>Codex10k</x:v>
      </x:c>
      <x:c r="D3" t="str">
        <x:v>Creative Fabrica</x:v>
      </x:c>
      <x:c r="E3"/>
      <x:c r="F3" t="str">
        <x:v>Greenhouse / Reddit</x:v>
      </x:c>
      <x:c r="G3" t="str">
        <x:v>https://job-boards.eu.greenhouse.io/creativefabrica/jobs/4807276101</x:v>
      </x:c>
      <x:c r="H3" t="str">
        <x:v>Ecommerce / marketing ops</x:v>
      </x:c>
      <x:c r="I3" t="str">
        <x:v>Needs AI workflows for email operations, content pipelines, campaign execution, optimization, and HITL governance</x:v>
      </x:c>
      <x:c r="J3" t="str">
        <x:v>Workflow Revenue Recovery Sprint</x:v>
      </x:c>
      <x:c r="K3" t="str">
        <x:v>qualified</x:v>
      </x:c>
      <x:c r="L3" t="str">
        <x:v>2026-05-08</x:v>
      </x:c>
      <x:c r="M3" t="str">
        <x:v>Prepare application package; submission needs resume/CV, LinkedIn URL, city, and AI marketing tool list</x:v>
      </x:c>
      <x:c r="N3" t="str">
        <x:v>2026-05-09</x:v>
      </x:c>
      <x:c r="O3" t="str">
        <x:v>docs/opportunity-log.md</x:v>
      </x:c>
      <x:c r="P3" t="str">
        <x:v>Recent public job post; high relevance but requires personal application details</x:v>
      </x:c>
    </x:row>
    <x:row r="4">
      <x:c r="A4" t="str">
        <x:v>C10K-002</x:v>
      </x:c>
      <x:c r="B4" t="str">
        <x:v>2026-05-08</x:v>
      </x:c>
      <x:c r="C4" t="str">
        <x:v>Codex10k</x:v>
      </x:c>
      <x:c r="D4" t="str">
        <x:v>GCS</x:v>
      </x:c>
      <x:c r="E4" t="str">
        <x:v>mohammed.k@gc-ti.com</x:v>
      </x:c>
      <x:c r="F4" t="str">
        <x:v>Public hiring email</x:v>
      </x:c>
      <x:c r="G4" t="str">
        <x:v>https://community.n8n.io/t/hiring-we-are-looking-for-a-n8n-automation-expert-to-build-ai-agent-workflows-freelance/132551</x:v>
      </x:c>
      <x:c r="H4" t="str">
        <x:v>AI workflow / document automation</x:v>
      </x:c>
      <x:c r="I4" t="str">
        <x:v>Asked for n8n multi-agent workflow developer to ingest and analyze documents and generate downstream AI prompts</x:v>
      </x:c>
      <x:c r="J4" t="str">
        <x:v>10-Day Workflow Revenue Recovery Sprint</x:v>
      </x:c>
      <x:c r="K4" t="str">
        <x:v>contacted</x:v>
      </x:c>
      <x:c r="L4" t="str">
        <x:v>2026-05-08</x:v>
      </x:c>
      <x:c r="M4" t="str">
        <x:v>Watch for reply; if positive, request anonymized sample docs and scope paid triage</x:v>
      </x:c>
      <x:c r="N4" t="str">
        <x:v>2026-05-10</x:v>
      </x:c>
      <x:c r="O4" t="str">
        <x:v>gmail:19e08e41f4d7c336</x:v>
      </x:c>
      <x:c r="P4" t="str">
        <x:v>Sent from Codex10k pipeline with labels Codex10k/Lead and Codex10k/Sent</x:v>
      </x:c>
    </x:row>
    <x:row r="5">
      <x:c r="A5" t="str">
        <x:v>C10K-003</x:v>
      </x:c>
      <x:c r="B5" t="str">
        <x:v>2026-05-08</x:v>
      </x:c>
      <x:c r="C5" t="str">
        <x:v>Codex10k</x:v>
      </x:c>
      <x:c r="D5" t="str">
        <x:v>Talents Team</x:v>
      </x:c>
      <x:c r="E5"/>
      <x:c r="F5" t="str">
        <x:v>Make Community</x:v>
      </x:c>
      <x:c r="G5" t="str">
        <x:v>https://community.make.com/t/hiring-make-com-http-make-com-automation-engineer-contract-part-time/103508</x:v>
      </x:c>
      <x:c r="H5" t="str">
        <x:v>Automation contractor</x:v>
      </x:c>
      <x:c r="I5" t="str">
        <x:v>Needs Make scenarios, routers, scheduling, error handling, APIs, data mapping, docs, troubleshooting</x:v>
      </x:c>
      <x:c r="J5" t="str">
        <x:v>Workflow Triage</x:v>
      </x:c>
      <x:c r="K5" t="str">
        <x:v>qualified</x:v>
      </x:c>
      <x:c r="L5" t="str">
        <x:v>2026-05-08</x:v>
      </x:c>
      <x:c r="M5" t="str">
        <x:v>Apply via Make Community DM if account access is available</x:v>
      </x:c>
      <x:c r="N5" t="str">
        <x:v>2026-05-09</x:v>
      </x:c>
      <x:c r="O5" t="str">
        <x:v>docs/opportunity-log.md</x:v>
      </x:c>
      <x:c r="P5" t="str">
        <x:v>No direct email visible; avoid scraping or bypassing platform</x:v>
      </x:c>
    </x:row>
    <x:row r="6">
      <x:c r="A6" t="str">
        <x:v>C10K-004</x:v>
      </x:c>
      <x:c r="B6" t="str">
        <x:v>2026-05-08</x:v>
      </x:c>
      <x:c r="C6" t="str">
        <x:v>Codex10k</x:v>
      </x:c>
      <x:c r="D6" t="str">
        <x:v>Creative Fabrica Reddit poster</x:v>
      </x:c>
      <x:c r="E6"/>
      <x:c r="F6" t="str">
        <x:v>Reddit</x:v>
      </x:c>
      <x:c r="G6" t="str">
        <x:v>https://www.reddit.com/r/n8n/comments/1t49b3r/hiring_ai_marketing_specialist_agentic_ai/</x:v>
      </x:c>
      <x:c r="H6" t="str">
        <x:v>B2C marketing automation</x:v>
      </x:c>
      <x:c r="I6" t="str">
        <x:v>Poster confirmed freelancers may be considered if similar timezone and experience at needed scale</x:v>
      </x:c>
      <x:c r="J6" t="str">
        <x:v>Workflow Triage</x:v>
      </x:c>
      <x:c r="K6" t="str">
        <x:v>qualified</x:v>
      </x:c>
      <x:c r="L6" t="str">
        <x:v>2026-05-08</x:v>
      </x:c>
      <x:c r="M6" t="str">
        <x:v>Use official Greenhouse application rather than unsolicited DM</x:v>
      </x:c>
      <x:c r="N6" t="str">
        <x:v>2026-05-09</x:v>
      </x:c>
      <x:c r="O6" t="str">
        <x:v>docs/opportunity-log.md</x:v>
      </x:c>
      <x:c r="P6" t="str">
        <x:v>Do not message via bots or scraped contact data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sheetData>
    <x:row r="1">
      <x:c r="A1" t="str">
        <x:v>Assumption</x:v>
      </x:c>
      <x:c r="B1" t="str">
        <x:v>Value</x:v>
      </x:c>
      <x:c r="C1" t="str">
        <x:v>Source</x:v>
      </x:c>
      <x:c r="D1" t="str">
        <x:v>Notes</x:v>
      </x:c>
    </x:row>
    <x:row r="2">
      <x:c r="A2" t="str">
        <x:v>Stripe U.S. domestic card fee</x:v>
      </x:c>
      <x:c r="B2" t="str">
        <x:v>2.9% + $0.30</x:v>
      </x:c>
      <x:c r="C2" t="str">
        <x:v>https://stripe.com/us/pricing</x:v>
      </x:c>
      <x:c r="D2" t="str">
        <x:v>Use actual fee evidence when available</x:v>
      </x:c>
    </x:row>
    <x:row r="3">
      <x:c r="A3" t="str">
        <x:v>Upwork freelancer service fee</x:v>
      </x:c>
      <x:c r="B3" t="str">
        <x:v>0%-15%</x:v>
      </x:c>
      <x:c r="C3" t="str">
        <x:v>https://support.upwork.com/hc/en-us/articles/211062538-Freelancer-Service-Fee</x:v>
      </x:c>
      <x:c r="D3" t="str">
        <x:v>Varies by contract</x:v>
      </x:c>
    </x:row>
    <x:row r="4">
      <x:c r="A4" t="str">
        <x:v>Upwork Connects</x:v>
      </x:c>
      <x:c r="B4" t="str">
        <x:v>$0.15 each</x:v>
      </x:c>
      <x:c r="C4" t="str">
        <x:v>https://support.upwork.com/hc/en-us/articles/34955398999699-Connects</x:v>
      </x:c>
      <x:c r="D4" t="str">
        <x:v>Treat as direct cost if used</x:v>
      </x:c>
    </x:row>
    <x:row r="5">
      <x:c r="A5" t="str">
        <x:v>Cold commercial email</x:v>
      </x:c>
      <x:c r="B5" t="str">
        <x:v>Requires CAN-SPAM compliance</x:v>
      </x:c>
      <x:c r="C5" t="str">
        <x:v>https://www.ftc.gov/business-guidance/resources/can-spam-act-compliance-guide-business</x:v>
      </x:c>
      <x:c r="D5" t="str">
        <x:v>Avoid cold email until postal address is available</x:v>
      </x:c>
    </x:row>
    <x:row r="6">
      <x:c r="A6" t="str">
        <x:v>Primary channel</x:v>
      </x:c>
      <x:c r="B6" t="str">
        <x:v>Public hiring posts + communities</x:v>
      </x:c>
      <x:c r="C6" t="str">
        <x:v>docs/research.md</x:v>
      </x:c>
      <x:c r="D6" t="str">
        <x:v>Buyer-intent first</x:v>
      </x:c>
    </x:row>
    <x:row r="7">
      <x:c r="A7" t="str">
        <x:v>Primary price</x:v>
      </x:c>
      <x:c r="B7" t="str">
        <x:v>$4,800-$7,500</x:v>
      </x:c>
      <x:c r="C7" t="str">
        <x:v>docs/offer.md</x:v>
      </x:c>
      <x:c r="D7" t="str">
        <x:v>Fixed-scope sprint</x:v>
      </x:c>
    </x:row>
    <x:row r="8">
      <x:c r="A8" t="str">
        <x:v>Retainer</x:v>
      </x:c>
      <x:c r="B8" t="str">
        <x:v>$750-$1,500/mo</x:v>
      </x:c>
      <x:c r="C8" t="str">
        <x:v>docs/offer.md</x:v>
      </x:c>
      <x:c r="D8" t="str">
        <x:v>Optional after launch</x:v>
      </x:c>
    </x:row>
    <x:row r="9">
      <x:c r="A9" t="str">
        <x:v>Direct costs policy</x:v>
      </x:c>
      <x:c r="B9" t="str">
        <x:v>Approved before use</x:v>
      </x:c>
      <x:c r="C9" t="str">
        <x:v>docs/payment-flow.md</x:v>
      </x:c>
      <x:c r="D9" t="str">
        <x:v>Subtract all costs from net profit</x:v>
      </x:c>
    </x:row>
  </x:sheetData>
  <x:pageMargins left="0.7" right="0.7" top="0.75" bottom="0.75" header="0.3" footer="0.3"/>
</x:worksheet>
</file>