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55119eb9944c16" /></Relationships>
</file>

<file path=xl/workbook.xml><?xml version="1.0" encoding="utf-8"?>
<x:workbook xmlns:x="http://schemas.openxmlformats.org/spreadsheetml/2006/main">
  <x:sheets>
    <x:sheet xmlns:r="http://schemas.openxmlformats.org/officeDocument/2006/relationships" name="Dashboard" sheetId="1" r:id="R852bc827a75c4526"/>
    <x:sheet xmlns:r="http://schemas.openxmlformats.org/officeDocument/2006/relationships" name="Ledger" sheetId="2" r:id="Re6b1063511044286"/>
    <x:sheet xmlns:r="http://schemas.openxmlformats.org/officeDocument/2006/relationships" name="Prospects" sheetId="3" r:id="R776ca1d39e6646a0"/>
    <x:sheet xmlns:r="http://schemas.openxmlformats.org/officeDocument/2006/relationships" name="Assumptions" sheetId="4" r:id="Rbf5ac05b57e044ad"/>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2fd0da470140a4" /><Relationship Type="http://schemas.openxmlformats.org/officeDocument/2006/relationships/theme" Target="/xl/theme/theme1.xml" Id="Ra10354ab2e82435f" /><Relationship Type="http://schemas.openxmlformats.org/officeDocument/2006/relationships/sharedStrings" Target="/xl/sharedStrings.xml" Id="R1ad52b0301c14edc" /><Relationship Type="http://schemas.openxmlformats.org/officeDocument/2006/relationships/worksheet" Target="/xl/worksheets/sheet1.xml" Id="R852bc827a75c4526" /><Relationship Type="http://schemas.openxmlformats.org/officeDocument/2006/relationships/worksheet" Target="/xl/worksheets/sheet2.xml" Id="Re6b1063511044286" /><Relationship Type="http://schemas.openxmlformats.org/officeDocument/2006/relationships/worksheet" Target="/xl/worksheets/sheet3.xml" Id="R776ca1d39e6646a0" /><Relationship Type="http://schemas.openxmlformats.org/officeDocument/2006/relationships/worksheet" Target="/xl/worksheets/sheet4.xml" Id="Rbf5ac05b57e044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Codex10k Verified Profit Dashboard</x:v>
      </x:c>
      <x:c r="B1" t="str"/>
      <x:c r="C1" t="str"/>
      <x:c r="D1" t="str"/>
      <x:c r="E1" t="str"/>
      <x:c r="F1" t="str"/>
    </x:row>
    <x:row r="3">
      <x:c r="A3" t="str">
        <x:v>Goal</x:v>
      </x:c>
      <x:c r="B3" t="n">
        <x:v>10000</x:v>
      </x:c>
      <x:c r="D3" t="str">
        <x:v>Run Label</x:v>
      </x:c>
      <x:c r="E3" t="str">
        <x:v>Codex10k</x:v>
      </x:c>
      <x:c r="F3" t="str"/>
    </x:row>
    <x:row r="4">
      <x:c r="A4" t="str">
        <x:v>Verified Net Profit</x:v>
      </x:c>
      <x:c r="B4" t="n">
        <x:v>0</x:v>
      </x:c>
      <x:c r="D4" t="str">
        <x:v>Primary Offer</x:v>
      </x:c>
      <x:c r="E4" t="str">
        <x:v>10-Day Workflow Revenue Recovery Sprint</x:v>
      </x:c>
      <x:c r="F4" t="str"/>
    </x:row>
    <x:row r="5">
      <x:c r="A5" t="str">
        <x:v>Remaining</x:v>
      </x:c>
      <x:c r="B5" t="n">
        <x:f>B3-B4</x:f>
        <x:v>10000</x:v>
      </x:c>
      <x:c r="D5" t="str">
        <x:v>Target Close Pattern</x:v>
      </x:c>
      <x:c r="E5" t="str">
        <x:v>2 sprint clients at $6k+ or 3 at $4.8k</x:v>
      </x:c>
      <x:c r="F5" t="str"/>
    </x:row>
    <x:row r="6">
      <x:c r="A6" t="str">
        <x:v>Gross Settled Revenue</x:v>
      </x:c>
      <x:c r="B6" t="n">
        <x:v>0</x:v>
      </x:c>
      <x:c r="D6" t="str">
        <x:v>Payment Evidence</x:v>
      </x:c>
      <x:c r="E6" t="str">
        <x:v>Invoice, transaction ID, payout proof, fee receipt</x:v>
      </x:c>
      <x:c r="F6" t="str"/>
    </x:row>
    <x:row r="7">
      <x:c r="A7" t="str">
        <x:v>Fees + Costs + Refunds</x:v>
      </x:c>
      <x:c r="B7" t="n">
        <x:v>0</x:v>
      </x:c>
      <x:c r="D7" t="str">
        <x:v>Rule</x:v>
      </x:c>
      <x:c r="E7" t="str">
        <x:v>Count settled revenue only</x:v>
      </x:c>
      <x:c r="F7" t="str"/>
    </x:row>
    <x:row r="8">
      <x:c r="A8" t="str">
        <x:v>Qualified Prospects</x:v>
      </x:c>
      <x:c r="B8" t="n">
        <x:f>COUNTIFS(Prospects!K2:K200,"&lt;&gt;initialized",Prospects!K2:K200,"&lt;&gt;hold_employment_style",Prospects!K2:K200,"&lt;&gt;bounced",Prospects!K2:K200,"&lt;&gt;")</x:f>
        <x:v>77</x:v>
      </x:c>
    </x:row>
    <x:row r="9">
      <x:c r="A9" t="str">
        <x:v>Interested Prospects</x:v>
      </x:c>
      <x:c r="B9" t="n">
        <x:f>COUNTIF(Prospects!K2:K200,"interested") + COUNTIF(Prospects!K2:K200,"interested_phase0_sent") + COUNTIF(Prospects!K2:K200,"meeting_proposed_phase0") + COUNTIF(Prospects!K2:K200,"proposal_sent") + COUNTIF(Prospects!K2:K200,"invoice_sent") + COUNTIF(Prospects!K2:K200,"paid")</x:f>
        <x:v>0</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Date</x:v>
      </x:c>
      <x:c r="B1" t="str">
        <x:v>Event ID</x:v>
      </x:c>
      <x:c r="C1" t="str">
        <x:v>Counterparty</x:v>
      </x:c>
      <x:c r="D1" t="str">
        <x:v>Channel</x:v>
      </x:c>
      <x:c r="E1" t="str">
        <x:v>Description</x:v>
      </x:c>
      <x:c r="F1" t="str">
        <x:v>Gross Revenue</x:v>
      </x:c>
      <x:c r="G1" t="str">
        <x:v>Payment Fees</x:v>
      </x:c>
      <x:c r="H1" t="str">
        <x:v>Platform Fees</x:v>
      </x:c>
      <x:c r="I1" t="str">
        <x:v>Direct Costs</x:v>
      </x:c>
      <x:c r="J1" t="str">
        <x:v>Refunds</x:v>
      </x:c>
      <x:c r="K1" t="str">
        <x:v>Net Profit</x:v>
      </x:c>
      <x:c r="L1" t="str">
        <x:v>Status</x:v>
      </x:c>
      <x:c r="M1" t="str">
        <x:v>Transaction ID</x:v>
      </x:c>
      <x:c r="N1" t="str">
        <x:v>Evidence URI</x:v>
      </x:c>
      <x:c r="O1" t="str">
        <x:v>Notes</x:v>
      </x:c>
    </x:row>
    <x:row r="2">
      <x:c r="A2" t="str">
        <x:v>2026-05-08</x:v>
      </x:c>
      <x:c r="B2" t="str">
        <x:v>LEDGER-000</x:v>
      </x:c>
      <x:c r="C2" t="str">
        <x:v>Internal</x:v>
      </x:c>
      <x:c r="D2" t="str">
        <x:v>Workspace</x:v>
      </x:c>
      <x:c r="E2" t="str">
        <x:v>Codex10k ledger initialized</x:v>
      </x:c>
      <x:c r="F2" t="n">
        <x:v>0</x:v>
      </x:c>
      <x:c r="G2" t="n">
        <x:v>0</x:v>
      </x:c>
      <x:c r="H2" t="n">
        <x:v>0</x:v>
      </x:c>
      <x:c r="I2" t="n">
        <x:v>0</x:v>
      </x:c>
      <x:c r="J2" t="n">
        <x:v>0</x:v>
      </x:c>
      <x:c r="K2" t="n">
        <x:f>F2-G2-H2-I2-J2</x:f>
        <x:v>0</x:v>
      </x:c>
      <x:c r="L2" t="str">
        <x:v>initialized</x:v>
      </x:c>
      <x:c r="M2"/>
      <x:c r="N2" t="str">
        <x:v>docs/research.md</x:v>
      </x:c>
      <x:c r="O2" t="str">
        <x:v>No verified revenue yet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Lead ID</x:v>
      </x:c>
      <x:c r="B1" t="str">
        <x:v>Created</x:v>
      </x:c>
      <x:c r="C1" t="str">
        <x:v>Label Namespace</x:v>
      </x:c>
      <x:c r="D1" t="str">
        <x:v>Company</x:v>
      </x:c>
      <x:c r="E1" t="str">
        <x:v>Contact</x:v>
      </x:c>
      <x:c r="F1" t="str">
        <x:v>Channel</x:v>
      </x:c>
      <x:c r="G1" t="str">
        <x:v>Source URL</x:v>
      </x:c>
      <x:c r="H1" t="str">
        <x:v>Segment</x:v>
      </x:c>
      <x:c r="I1" t="str">
        <x:v>Problem Hypothesis</x:v>
      </x:c>
      <x:c r="J1" t="str">
        <x:v>Offer</x:v>
      </x:c>
      <x:c r="K1" t="str">
        <x:v>Status</x:v>
      </x:c>
      <x:c r="L1" t="str">
        <x:v>Last Touch</x:v>
      </x:c>
      <x:c r="M1" t="str">
        <x:v>Next Action</x:v>
      </x:c>
      <x:c r="N1" t="str">
        <x:v>Follow-up Date</x:v>
      </x:c>
      <x:c r="O1" t="str">
        <x:v>Evidence</x:v>
      </x:c>
      <x:c r="P1" t="str">
        <x:v>Notes</x:v>
      </x:c>
    </x:row>
    <x:row r="2">
      <x:c r="A2" t="str">
        <x:v>C10K-000</x:v>
      </x:c>
      <x:c r="B2" t="str">
        <x:v>2026-05-08</x:v>
      </x:c>
      <x:c r="C2" t="str">
        <x:v>Codex10k</x:v>
      </x:c>
      <x:c r="D2" t="str">
        <x:v>Internal</x:v>
      </x:c>
      <x:c r="E2"/>
      <x:c r="F2"/>
      <x:c r="G2"/>
      <x:c r="H2"/>
      <x:c r="I2" t="str">
        <x:v>Run setup</x:v>
      </x:c>
      <x:c r="J2" t="str">
        <x:v>10-Day Workflow Revenue Recovery Sprint</x:v>
      </x:c>
      <x:c r="K2" t="str">
        <x:v>initialized</x:v>
      </x:c>
      <x:c r="L2" t="str">
        <x:v>2026-05-08</x:v>
      </x:c>
      <x:c r="M2" t="str">
        <x:v>Begin fresh lead sourcing</x:v>
      </x:c>
      <x:c r="N2"/>
      <x:c r="O2" t="str">
        <x:v>docs/research.md</x:v>
      </x:c>
      <x:c r="P2" t="str">
        <x:v>Do not mix with prior Revenue Run labels</x:v>
      </x:c>
    </x:row>
    <x:row r="3">
      <x:c r="A3" t="str">
        <x:v>C10K-001</x:v>
      </x:c>
      <x:c r="B3" t="str">
        <x:v>2026-05-08</x:v>
      </x:c>
      <x:c r="C3" t="str">
        <x:v>Codex10k</x:v>
      </x:c>
      <x:c r="D3" t="str">
        <x:v>Creative Fabrica</x:v>
      </x:c>
      <x:c r="E3"/>
      <x:c r="F3" t="str">
        <x:v>Greenhouse / Reddit</x:v>
      </x:c>
      <x:c r="G3" t="str">
        <x:v>https://job-boards.eu.greenhouse.io/creativefabrica/jobs/4807276101</x:v>
      </x:c>
      <x:c r="H3" t="str">
        <x:v>Ecommerce / marketing ops</x:v>
      </x:c>
      <x:c r="I3" t="str">
        <x:v>Needs AI workflows for email operations, content pipelines, campaign execution, optimization, and HITL governance</x:v>
      </x:c>
      <x:c r="J3" t="str">
        <x:v>Workflow Revenue Recovery Sprint</x:v>
      </x:c>
      <x:c r="K3" t="str">
        <x:v>hold_employment_style</x:v>
      </x:c>
      <x:c r="L3" t="str">
        <x:v>2026-05-08</x:v>
      </x:c>
      <x:c r="M3" t="str">
        <x:v>Do not apply as a job; pursue only if a fixed-scope vendor/project contact path appears</x:v>
      </x:c>
      <x:c r="N3" t="str">
        <x:v>2026-05-09</x:v>
      </x:c>
      <x:c r="O3" t="str">
        <x:v>docs/opportunity-log.md</x:v>
      </x:c>
      <x:c r="P3" t="str">
        <x:v>Recent public job post but requires personal application details and likely employee-style involvement</x:v>
      </x:c>
    </x:row>
    <x:row r="4">
      <x:c r="A4" t="str">
        <x:v>C10K-002</x:v>
      </x:c>
      <x:c r="B4" t="str">
        <x:v>2026-05-08</x:v>
      </x:c>
      <x:c r="C4" t="str">
        <x:v>Codex10k</x:v>
      </x:c>
      <x:c r="D4" t="str">
        <x:v>GCS</x:v>
      </x:c>
      <x:c r="E4" t="str">
        <x:v>mohammed.k@gc-ti.com</x:v>
      </x:c>
      <x:c r="F4" t="str">
        <x:v>Public hiring email</x:v>
      </x:c>
      <x:c r="G4" t="str">
        <x:v>https://community.n8n.io/t/hiring-we-are-looking-for-a-n8n-automation-expert-to-build-ai-agent-workflows-freelance/132551</x:v>
      </x:c>
      <x:c r="H4" t="str">
        <x:v>AI workflow / document automation</x:v>
      </x:c>
      <x:c r="I4" t="str">
        <x:v>Asked for n8n multi-agent workflow developer to ingest and analyze documents and generate downstream AI prompts</x:v>
      </x:c>
      <x:c r="J4" t="str">
        <x:v>10-Day Workflow Revenue Recovery Sprint</x:v>
      </x:c>
      <x:c r="K4" t="str">
        <x:v>contacted_fixed_scope</x:v>
      </x:c>
      <x:c r="L4" t="str">
        <x:v>2026-05-08</x:v>
      </x:c>
      <x:c r="M4" t="str">
        <x:v>Watch for reply; if positive, request anonymized sample docs and scope paid triage</x:v>
      </x:c>
      <x:c r="N4" t="str">
        <x:v>2026-05-10</x:v>
      </x:c>
      <x:c r="O4" t="str">
        <x:v>gmail:19e08e71637b72c1</x:v>
      </x:c>
      <x:c r="P4" t="str">
        <x:v>Clarified this is not employment; Codex10k offers a done-for-you fixed-scope build</x:v>
      </x:c>
    </x:row>
    <x:row r="5">
      <x:c r="A5" t="str">
        <x:v>C10K-003</x:v>
      </x:c>
      <x:c r="B5" t="str">
        <x:v>2026-05-08</x:v>
      </x:c>
      <x:c r="C5" t="str">
        <x:v>Codex10k</x:v>
      </x:c>
      <x:c r="D5" t="str">
        <x:v>Talents Team</x:v>
      </x:c>
      <x:c r="E5"/>
      <x:c r="F5" t="str">
        <x:v>Make Community</x:v>
      </x:c>
      <x:c r="G5" t="str">
        <x:v>https://community.make.com/t/hiring-make-com-http-make-com-automation-engineer-contract-part-time/103508</x:v>
      </x:c>
      <x:c r="H5" t="str">
        <x:v>Automation contractor</x:v>
      </x:c>
      <x:c r="I5" t="str">
        <x:v>Needs Make scenarios, routers, scheduling, error handling, APIs, data mapping, docs, troubleshooting</x:v>
      </x:c>
      <x:c r="J5" t="str">
        <x:v>Workflow Triage</x:v>
      </x:c>
      <x:c r="K5" t="str">
        <x:v>qualified</x:v>
      </x:c>
      <x:c r="L5" t="str">
        <x:v>2026-05-08</x:v>
      </x:c>
      <x:c r="M5" t="str">
        <x:v>Apply via Make Community DM if account access is available</x:v>
      </x:c>
      <x:c r="N5" t="str">
        <x:v>2026-05-09</x:v>
      </x:c>
      <x:c r="O5" t="str">
        <x:v>docs/opportunity-log.md</x:v>
      </x:c>
      <x:c r="P5" t="str">
        <x:v>No direct email visible; avoid scraping or bypassing platform</x:v>
      </x:c>
    </x:row>
    <x:row r="6">
      <x:c r="A6" t="str">
        <x:v>C10K-004</x:v>
      </x:c>
      <x:c r="B6" t="str">
        <x:v>2026-05-08</x:v>
      </x:c>
      <x:c r="C6" t="str">
        <x:v>Codex10k</x:v>
      </x:c>
      <x:c r="D6" t="str">
        <x:v>Creative Fabrica Reddit poster</x:v>
      </x:c>
      <x:c r="E6"/>
      <x:c r="F6" t="str">
        <x:v>Reddit</x:v>
      </x:c>
      <x:c r="G6" t="str">
        <x:v>https://www.reddit.com/r/n8n/comments/1t49b3r/hiring_ai_marketing_specialist_agentic_ai/</x:v>
      </x:c>
      <x:c r="H6" t="str">
        <x:v>B2C marketing automation</x:v>
      </x:c>
      <x:c r="I6" t="str">
        <x:v>Poster confirmed freelancers may be considered if similar timezone and experience at needed scale</x:v>
      </x:c>
      <x:c r="J6" t="str">
        <x:v>Workflow Triage</x:v>
      </x:c>
      <x:c r="K6" t="str">
        <x:v>hold_employment_style</x:v>
      </x:c>
      <x:c r="L6" t="str">
        <x:v>2026-05-08</x:v>
      </x:c>
      <x:c r="M6" t="str">
        <x:v>Do not apply as job; only pursue if vendor/project path appears</x:v>
      </x:c>
      <x:c r="N6" t="str">
        <x:v>2026-05-09</x:v>
      </x:c>
      <x:c r="O6" t="str">
        <x:v>docs/opportunity-log.md</x:v>
      </x:c>
      <x:c r="P6" t="str">
        <x:v>Do not message via bots or scraped contact data</x:v>
      </x:c>
    </x:row>
    <x:row r="7">
      <x:c r="A7" t="str">
        <x:v>C10K-005</x:v>
      </x:c>
      <x:c r="B7" t="str">
        <x:v>2026-05-09</x:v>
      </x:c>
      <x:c r="C7" t="str">
        <x:v>Codex10k</x:v>
      </x:c>
      <x:c r="D7" t="str">
        <x:v>Callee AI Solutions</x:v>
      </x:c>
      <x:c r="E7" t="str">
        <x:v>CalleeAIsolutions@gmail.com</x:v>
      </x:c>
      <x:c r="F7" t="str">
        <x:v>Skool public post</x:v>
      </x:c>
      <x:c r="G7" t="str">
        <x:v>https://www.skool.com/brendan/hiring-n8n-automation-engineer</x:v>
      </x:c>
      <x:c r="H7" t="str">
        <x:v>Voice AI agency automation</x:v>
      </x:c>
      <x:c r="I7" t="str">
        <x:v>Agency has client surge and needs n8n/API automation layer for bookings, outreach, lead gen, and internal ops</x:v>
      </x:c>
      <x:c r="J7" t="str">
        <x:v>10-Day Workflow Revenue Recovery Sprint</x:v>
      </x:c>
      <x:c r="K7" t="str">
        <x:v>contacted_fixed_scope</x:v>
      </x:c>
      <x:c r="L7" t="str">
        <x:v>2026-05-09</x:v>
      </x:c>
      <x:c r="M7" t="str">
        <x:v>Watch for reply; if positive, request anonymized input/output and scope paid milestone</x:v>
      </x:c>
      <x:c r="N7" t="str">
        <x:v>2026-05-11</x:v>
      </x:c>
      <x:c r="O7" t="str">
        <x:v>gmail:19e08eb2da5715f2</x:v>
      </x:c>
      <x:c r="P7" t="str">
        <x:v>Sent done-for-you fixed-scope build offer; no employee-role framing</x:v>
      </x:c>
    </x:row>
    <x:row r="8">
      <x:c r="A8" t="str">
        <x:v>C10K-006</x:v>
      </x:c>
      <x:c r="B8" t="str">
        <x:v>2026-05-09</x:v>
      </x:c>
      <x:c r="C8" t="str">
        <x:v>Codex10k</x:v>
      </x:c>
      <x:c r="D8" t="str">
        <x:v>Strive Digital</x:v>
      </x:c>
      <x:c r="E8" t="str">
        <x:v>bruno@strive-digital.com</x:v>
      </x:c>
      <x:c r="F8" t="str">
        <x:v>LinkedIn public post</x:v>
      </x:c>
      <x:c r="G8" t="str">
        <x:v>https://br.linkedin.com/company/strivedigitall</x:v>
      </x:c>
      <x:c r="H8" t="str">
        <x:v>Outbound lead-gen / data ops</x:v>
      </x:c>
      <x:c r="I8" t="str">
        <x:v>Needs main database plus per-client sheet workflow with duplicate prevention and client-specific statuses</x:v>
      </x:c>
      <x:c r="J8" t="str">
        <x:v>10-Day Workflow Revenue Recovery Sprint</x:v>
      </x:c>
      <x:c r="K8" t="str">
        <x:v>contacted_fixed_scope</x:v>
      </x:c>
      <x:c r="L8" t="str">
        <x:v>2026-05-09</x:v>
      </x:c>
      <x:c r="M8" t="str">
        <x:v>Watch for reply; if positive, request anonymized main DB and 2 client sheets</x:v>
      </x:c>
      <x:c r="N8" t="str">
        <x:v>2026-05-11</x:v>
      </x:c>
      <x:c r="O8" t="str">
        <x:v>gmail:19e08eb918b791a3</x:v>
      </x:c>
      <x:c r="P8" t="str">
        <x:v>Sent fixed-scope project proposal around their exact data synchronization problem</x:v>
      </x:c>
    </x:row>
    <x:row r="9">
      <x:c r="A9" t="str">
        <x:v>C10K-007</x:v>
      </x:c>
      <x:c r="B9" t="str">
        <x:v>2026-05-09</x:v>
      </x:c>
      <x:c r="C9" t="str">
        <x:v>Codex10k</x:v>
      </x:c>
      <x:c r="D9" t="str">
        <x:v>Bluestork AI / BygAI.dk</x:v>
      </x:c>
      <x:c r="E9" t="str">
        <x:v>contact.bluestork.ai@gmail.com</x:v>
      </x:c>
      <x:c r="F9" t="str">
        <x:v>Reddit public post / inbound Gmail</x:v>
      </x:c>
      <x:c r="G9" t="str">
        <x:v>https://bygai.dk</x:v>
      </x:c>
      <x:c r="H9" t="str">
        <x:v>Computer-vision automation lift for floor-plan measurement</x:v>
      </x:c>
      <x:c r="I9" t="str">
        <x:v>Buyer says BygAI.dk already has a semi-automatic solution for AI-driven floor-plan measurement to painter quote, but further computer-vision automation may be valuable; prior DTU master's student work did not generalize consistently across varied plans</x:v>
      </x:c>
      <x:c r="J9" t="str">
        <x:v>Paid computer-vision feasibility milestone</x:v>
      </x:c>
      <x:c r="K9" t="str">
        <x:v>phase0_reply_sent_awaiting_approval</x:v>
      </x:c>
      <x:c r="L9" t="str">
        <x:v>2026-05-09</x:v>
      </x:c>
      <x:c r="M9" t="str">
        <x:v>Wait for Bluestork to confirm Tuesday May 12 meeting time or approve USD 1200 Phase 0; if approved, prepare payment link/invoice and record settlement evidence before ledger credit</x:v>
      </x:c>
      <x:c r="N9" t="str">
        <x:v>2026-05-10</x:v>
      </x:c>
      <x:c r="O9" t="str">
        <x:v>gmail:19e091525a4d297b; gmail:19e0916f642c7360; gmail:19e09217059048e0; gmail:19e0923670fd29ae; gmail:19e0924dd475b380; gmail:19e094216cbfaeeb; gmail:19e09449bd7d27aa; private/bluestork/bluestork_phase0_proof.md; docs/bluestork-phase0-scope.md; outputs/codex10k/bluestork-phase0-scope.pdf; gmail:19e0af07c7a8730e; docs/bluestork-phase0-payment-request.md; outputs/codex10k/bluestork-phase0-payment-request-draft.pdf</x:v>
      </x:c>
      <x:c r="P9" t="str">
        <x:v>Sent in-thread reply with public-safe Phase 0 scope PDF attached. Reply accepted Tuesday May 12 at 11:00 Danish time, positioned the three PDFs as suitable Phase 0 samples, recommended USD 1200 Phase 0, and requested wall-height/opening-deduction rules before final net wall-area claims. Prepared payment request draft and estimated processor-fee math for immediate invoice/payment-link step after approval.</x:v>
      </x:c>
    </x:row>
    <x:row r="10">
      <x:c r="A10" t="str">
        <x:v>C10K-008</x:v>
      </x:c>
      <x:c r="B10" t="str">
        <x:v>2026-05-09</x:v>
      </x:c>
      <x:c r="C10" t="str">
        <x:v>Codex10k</x:v>
      </x:c>
      <x:c r="D10" t="str">
        <x:v>Shilling Strategy Consulting</x:v>
      </x:c>
      <x:c r="E10" t="str">
        <x:v>keerthivasan@shillingstrategyconsulting.com</x:v>
      </x:c>
      <x:c r="F10" t="str">
        <x:v>LinkedIn public post</x:v>
      </x:c>
      <x:c r="G10" t="str">
        <x:v>https://in.linkedin.com/company/shilling-strategy-consulting-ssc</x:v>
      </x:c>
      <x:c r="H10" t="str">
        <x:v>Consulting / workflow automation</x:v>
      </x:c>
      <x:c r="I10" t="str">
        <x:v>Public post asked for N8N automation freelancer with workflow integrations and scalable automation systems</x:v>
      </x:c>
      <x:c r="J10" t="str">
        <x:v>10-Day Workflow Revenue Recovery Sprint</x:v>
      </x:c>
      <x:c r="K10" t="str">
        <x:v>contacted_fixed_scope</x:v>
      </x:c>
      <x:c r="L10" t="str">
        <x:v>2026-05-09</x:v>
      </x:c>
      <x:c r="M10" t="str">
        <x:v>Watch for reply; if positive, request one workflow plus 5-10 sample records/screenshots</x:v>
      </x:c>
      <x:c r="N10" t="str">
        <x:v>2026-05-11</x:v>
      </x:c>
      <x:c r="O10" t="str">
        <x:v>gmail:19e08ec44f776529</x:v>
      </x:c>
      <x:c r="P10" t="str">
        <x:v>Sent done-for-you fixed-scope build offer with demo link</x:v>
      </x:c>
    </x:row>
    <x:row r="11">
      <x:c r="A11" t="str">
        <x:v>C10K-009</x:v>
      </x:c>
      <x:c r="B11" t="str">
        <x:v>2026-05-09</x:v>
      </x:c>
      <x:c r="C11" t="str">
        <x:v>Codex10k</x:v>
      </x:c>
      <x:c r="D11" t="str">
        <x:v>RestaurantFlow OS</x:v>
      </x:c>
      <x:c r="E11" t="str">
        <x:v>heldermiranda96@gmail.com</x:v>
      </x:c>
      <x:c r="F11" t="str">
        <x:v>n8n Community public post</x:v>
      </x:c>
      <x:c r="G11" t="str">
        <x:v>https://community.n8n.io/t/hiring-automation-engineer-wanted-n8n-core-role-restaurant-tech-startup/292053</x:v>
      </x:c>
      <x:c r="H11" t="str">
        <x:v>Restaurant revenue automation</x:v>
      </x:c>
      <x:c r="I11" t="str">
        <x:v>Needs production n8n workflows for OpenTable/SevenRooms booking data, Supabase, GHL, Printnode, multi-tenant idempotency, HMAC validation, and error handling</x:v>
      </x:c>
      <x:c r="J11" t="str">
        <x:v>Fixed-scope RestaurantFlow workflow build</x:v>
      </x:c>
      <x:c r="K11" t="str">
        <x:v>contacted_fixed_scope</x:v>
      </x:c>
      <x:c r="L11" t="str">
        <x:v>2026-05-09</x:v>
      </x:c>
      <x:c r="M11" t="str">
        <x:v>Watch for reply; if positive, request smallest workflow group, payload examples, and Supabase table shape</x:v>
      </x:c>
      <x:c r="N11" t="str">
        <x:v>2026-05-11</x:v>
      </x:c>
      <x:c r="O11" t="str">
        <x:v>gmail:19e08f2811f81844</x:v>
      </x:c>
      <x:c r="P11" t="str">
        <x:v>Sent USD 2500 fixed first-workflow-group offer; framed around test environment and acceptance checks</x:v>
      </x:c>
    </x:row>
    <x:row r="12">
      <x:c r="A12" t="str">
        <x:v>C10K-010</x:v>
      </x:c>
      <x:c r="B12" t="str">
        <x:v>2026-05-09</x:v>
      </x:c>
      <x:c r="C12" t="str">
        <x:v>Codex10k</x:v>
      </x:c>
      <x:c r="D12" t="str">
        <x:v>SPAudio</x:v>
      </x:c>
      <x:c r="E12" t="str">
        <x:v>tech@spaudio.it</x:v>
      </x:c>
      <x:c r="F12" t="str">
        <x:v>n8n Community public post</x:v>
      </x:c>
      <x:c r="G12" t="str">
        <x:v>https://community.n8n.io/t/seeking-experienced-freelance-n8n-automation-expert/207669</x:v>
      </x:c>
      <x:c r="H12" t="str">
        <x:v>Audio / operational automation</x:v>
      </x:c>
      <x:c r="I12" t="str">
        <x:v>Needs freelance support for self-hosted n8n setup, production workflows, complex API integrations, daily support, and optimization</x:v>
      </x:c>
      <x:c r="J12" t="str">
        <x:v>n8n stabilization sprint</x:v>
      </x:c>
      <x:c r="K12" t="str">
        <x:v>bounced</x:v>
      </x:c>
      <x:c r="L12" t="str">
        <x:v>2026-05-09</x:v>
      </x:c>
      <x:c r="M12" t="str">
        <x:v>Do not retry tech@spaudio.it; find alternate official SPAudio contact only if public and relevant</x:v>
      </x:c>
      <x:c r="N12"/>
      <x:c r="O12" t="str">
        <x:v>gmail:19e08f2ac74d0895</x:v>
      </x:c>
      <x:c r="P12" t="str">
        <x:v>Original send gmail:19e08f2a422b2929 bounced with 550 5.1.1 address not found</x:v>
      </x:c>
    </x:row>
    <x:row r="13">
      <x:c r="A13" t="str">
        <x:v>C10K-011</x:v>
      </x:c>
      <x:c r="B13" t="str">
        <x:v>2026-05-09</x:v>
      </x:c>
      <x:c r="C13" t="str">
        <x:v>Codex10k</x:v>
      </x:c>
      <x:c r="D13" t="str">
        <x:v>PristinePro Technologies</x:v>
      </x:c>
      <x:c r="E13" t="str">
        <x:v>careers@pristineprotech.com</x:v>
      </x:c>
      <x:c r="F13" t="str">
        <x:v>Reddit public post / company site</x:v>
      </x:c>
      <x:c r="G13" t="str">
        <x:v>https://www.reddit.com/r/n8n/comments/1p03o0g/looking_for_n8n_developer_with_2_years_of/</x:v>
      </x:c>
      <x:c r="H13" t="str">
        <x:v>AI automation consultancy</x:v>
      </x:c>
      <x:c r="I13" t="str">
        <x:v>Public post asked for n8n AI agent help; company site shows AI automation work around transcription, media processing, and document updates</x:v>
      </x:c>
      <x:c r="J13" t="str">
        <x:v>Fixed-scope n8n AI agent build</x:v>
      </x:c>
      <x:c r="K13" t="str">
        <x:v>contacted_fixed_scope</x:v>
      </x:c>
      <x:c r="L13" t="str">
        <x:v>2026-05-09</x:v>
      </x:c>
      <x:c r="M13" t="str">
        <x:v>Watch for reply; if positive, request one workflow and 5-10 anonymized sample records/screenshots</x:v>
      </x:c>
      <x:c r="N13" t="str">
        <x:v>2026-05-11</x:v>
      </x:c>
      <x:c r="O13" t="str">
        <x:v>gmail:19e08f2c2d25180a</x:v>
      </x:c>
      <x:c r="P13" t="str">
        <x:v>Sent USD 1500-2500 fixed workflow offer; no employee-role framing</x:v>
      </x:c>
    </x:row>
    <x:row r="14">
      <x:c r="A14" t="str">
        <x:v>C10K-012</x:v>
      </x:c>
      <x:c r="B14" t="str">
        <x:v>2026-05-09</x:v>
      </x:c>
      <x:c r="C14" t="str">
        <x:v>Codex10k</x:v>
      </x:c>
      <x:c r="D14" t="str">
        <x:v>Noevo</x:v>
      </x:c>
      <x:c r="E14" t="str">
        <x:v>io@noevo.io</x:v>
      </x:c>
      <x:c r="F14" t="str">
        <x:v>LinkedIn public post / company site</x:v>
      </x:c>
      <x:c r="G14" t="str">
        <x:v>https://lk.linkedin.com/jobs/view/n8n-%2B-ai-automation-assistant-part-time-at-noevo-io-4347043760</x:v>
      </x:c>
      <x:c r="H14" t="str">
        <x:v>EdTech operations automation</x:v>
      </x:c>
      <x:c r="I14" t="str">
        <x:v>Public posting described n8n and AI automation needs for AI-powered student counselor platform; site shows application support and document checklist workflows</x:v>
      </x:c>
      <x:c r="J14" t="str">
        <x:v>Fixed-scope Noevo operations workflow build</x:v>
      </x:c>
      <x:c r="K14" t="str">
        <x:v>contacted_fixed_scope</x:v>
      </x:c>
      <x:c r="L14" t="str">
        <x:v>2026-05-09</x:v>
      </x:c>
      <x:c r="M14" t="str">
        <x:v>Watch for reply; if positive, request one workflow and anonymized input/output examples</x:v>
      </x:c>
      <x:c r="N14" t="str">
        <x:v>2026-05-11</x:v>
      </x:c>
      <x:c r="O14" t="str">
        <x:v>gmail:19e08f2e136045e9</x:v>
      </x:c>
      <x:c r="P14" t="str">
        <x:v>Sent USD 1500 fixed workflow offer for intake, checklist, routing, reminders, or reporting</x:v>
      </x:c>
    </x:row>
    <x:row r="15">
      <x:c r="A15" t="str">
        <x:v>C10K-013</x:v>
      </x:c>
      <x:c r="B15" t="str">
        <x:v>2026-05-09</x:v>
      </x:c>
      <x:c r="C15" t="str">
        <x:v>Codex10k</x:v>
      </x:c>
      <x:c r="D15" t="str">
        <x:v>MJBLAW</x:v>
      </x:c>
      <x:c r="E15" t="str">
        <x:v>jshenkar@bernllp.com</x:v>
      </x:c>
      <x:c r="F15" t="str">
        <x:v>n8n Community public post</x:v>
      </x:c>
      <x:c r="G15" t="str">
        <x:v>https://community.n8n.io/t/law-firm-is-looking-for-fractional-support-in-n8n/264725</x:v>
      </x:c>
      <x:c r="H15" t="str">
        <x:v>Legal operations automation</x:v>
      </x:c>
      <x:c r="I15" t="str">
        <x:v>Law firm asked for fractional support developing and maintaining Monday.com workflows, n8n automations, operational efficiency, and integration projects</x:v>
      </x:c>
      <x:c r="J15" t="str">
        <x:v>Fixed-scope Monday.com + n8n legal-ops workflow</x:v>
      </x:c>
      <x:c r="K15" t="str">
        <x:v>contacted_fixed_scope</x:v>
      </x:c>
      <x:c r="L15" t="str">
        <x:v>2026-05-09</x:v>
      </x:c>
      <x:c r="M15" t="str">
        <x:v>Watch for reply; if positive, request one manual/fragile workflow, Monday.com board structure, and anonymized records</x:v>
      </x:c>
      <x:c r="N15" t="str">
        <x:v>2026-05-11</x:v>
      </x:c>
      <x:c r="O15" t="str">
        <x:v>gmail:19e08fa5b32c3037</x:v>
      </x:c>
      <x:c r="P15" t="str">
        <x:v>Sent USD 1500-2500 fixed one-workflow offer with confidentiality and data-minimization framing</x:v>
      </x:c>
    </x:row>
    <x:row r="16">
      <x:c r="A16" t="str">
        <x:v>C10K-014</x:v>
      </x:c>
      <x:c r="B16" t="str">
        <x:v>2026-05-09</x:v>
      </x:c>
      <x:c r="C16" t="str">
        <x:v>Codex10k</x:v>
      </x:c>
      <x:c r="D16" t="str">
        <x:v>BoviC</x:v>
      </x:c>
      <x:c r="E16" t="str">
        <x:v>borhanovic11@gmail.com</x:v>
      </x:c>
      <x:c r="F16" t="str">
        <x:v>n8n Community public post</x:v>
      </x:c>
      <x:c r="G16" t="str">
        <x:v>https://community.n8n.io/t/looking-for-n8n-expert-accounting-automation-saudi-vat/264293</x:v>
      </x:c>
      <x:c r="H16" t="str">
        <x:v>Accounting automation</x:v>
      </x:c>
      <x:c r="I16" t="str">
        <x:v>Asked for n8n expert to build Saudi VAT accounting automation system</x:v>
      </x:c>
      <x:c r="J16" t="str">
        <x:v>Fixed-scope accounting ingestion-to-review workflow</x:v>
      </x:c>
      <x:c r="K16" t="str">
        <x:v>contacted_fixed_scope</x:v>
      </x:c>
      <x:c r="L16" t="str">
        <x:v>2026-05-09</x:v>
      </x:c>
      <x:c r="M16" t="str">
        <x:v>Watch for reply; if positive, require approved VAT rules, anonymized samples, and explicit no tax/legal advice boundary</x:v>
      </x:c>
      <x:c r="N16" t="str">
        <x:v>2026-05-11</x:v>
      </x:c>
      <x:c r="O16" t="str">
        <x:v>gmail:19e08fa8fbc3903d</x:v>
      </x:c>
      <x:c r="P16" t="str">
        <x:v>Sent USD 2500 fixed technical automation milestone; stated Codex will not certify tax/ZATCA compliance</x:v>
      </x:c>
    </x:row>
    <x:row r="17">
      <x:c r="A17" t="str">
        <x:v>C10K-015</x:v>
      </x:c>
      <x:c r="B17" t="str">
        <x:v>2026-05-09</x:v>
      </x:c>
      <x:c r="C17" t="str">
        <x:v>Codex10k</x:v>
      </x:c>
      <x:c r="D17" t="str">
        <x:v>El Wong AI startup</x:v>
      </x:c>
      <x:c r="E17" t="str">
        <x:v>elwongyvr@gmail.com</x:v>
      </x:c>
      <x:c r="F17" t="str">
        <x:v>n8n Community public post</x:v>
      </x:c>
      <x:c r="G17" t="str">
        <x:v>https://community.n8n.io/t/now-hiring-operations-pm-for-ai-startup/294087</x:v>
      </x:c>
      <x:c r="H17" t="str">
        <x:v>Startup operations automation</x:v>
      </x:c>
      <x:c r="I17" t="str">
        <x:v>Fast-growing AI startup needs delivery, onboarding, team coordination, process docs, systems audits, and implementation plans around Notion, Airtable, and ClickUp</x:v>
      </x:c>
      <x:c r="J17" t="str">
        <x:v>Fixed-scope ops workflow build</x:v>
      </x:c>
      <x:c r="K17" t="str">
        <x:v>contacted_fixed_scope</x:v>
      </x:c>
      <x:c r="L17" t="str">
        <x:v>2026-05-09</x:v>
      </x:c>
      <x:c r="M17" t="str">
        <x:v>Watch for reply; if positive, request one onboarding/delivery workflow and anonymized input/output examples</x:v>
      </x:c>
      <x:c r="N17" t="str">
        <x:v>2026-05-11</x:v>
      </x:c>
      <x:c r="O17" t="str">
        <x:v>gmail:19e08faaff62fd56</x:v>
      </x:c>
      <x:c r="P17" t="str">
        <x:v>Sent USD 1500 fixed implementation slice offer; explicitly not a full-time PM application</x:v>
      </x:c>
    </x:row>
    <x:row r="18">
      <x:c r="A18" t="str">
        <x:v>C10K-016</x:v>
      </x:c>
      <x:c r="B18" t="str">
        <x:v>2026-05-09</x:v>
      </x:c>
      <x:c r="C18" t="str">
        <x:v>Codex10k</x:v>
      </x:c>
      <x:c r="D18" t="str">
        <x:v>Aditya Das AI agency</x:v>
      </x:c>
      <x:c r="E18" t="str">
        <x:v>aditya.das.own@gmail.com</x:v>
      </x:c>
      <x:c r="F18" t="str">
        <x:v>Skool public post</x:v>
      </x:c>
      <x:c r="G18" t="str">
        <x:v>https://www.skool.com/%40aditya-das-5910?g=ai-automation-society</x:v>
      </x:c>
      <x:c r="H18" t="str">
        <x:v>AI agency / voice + CRM automation</x:v>
      </x:c>
      <x:c r="I18" t="str">
        <x:v>Recent post asked for a single long-term n8n, Vapi, and GoHighLevel partner with live project proof</x:v>
      </x:c>
      <x:c r="J18" t="str">
        <x:v>Fixed-scope n8n/Vapi/GHL workflow build</x:v>
      </x:c>
      <x:c r="K18" t="str">
        <x:v>contacted_fixed_scope</x:v>
      </x:c>
      <x:c r="L18" t="str">
        <x:v>2026-05-09</x:v>
      </x:c>
      <x:c r="M18" t="str">
        <x:v>Watch for reply; if positive, request one client workflow, current GHL/Vapi stack, and sample payloads</x:v>
      </x:c>
      <x:c r="N18" t="str">
        <x:v>2026-05-11</x:v>
      </x:c>
      <x:c r="O18" t="str">
        <x:v>gmail:19e09038c416fd10</x:v>
      </x:c>
      <x:c r="P18" t="str">
        <x:v>Sent USD 1800 fixed first workflow group offer; framed as implementation partner, not employee application</x:v>
      </x:c>
    </x:row>
    <x:row r="19">
      <x:c r="A19" t="str">
        <x:v>C10K-017</x:v>
      </x:c>
      <x:c r="B19" t="str">
        <x:v>2026-05-09</x:v>
      </x:c>
      <x:c r="C19" t="str">
        <x:v>Codex10k</x:v>
      </x:c>
      <x:c r="D19" t="str">
        <x:v>Mattia Tessaro / AI products</x:v>
      </x:c>
      <x:c r="E19" t="str">
        <x:v>ecomaichatbot@gmail.com</x:v>
      </x:c>
      <x:c r="F19" t="str">
        <x:v>Skool public post</x:v>
      </x:c>
      <x:c r="G19" t="str">
        <x:v>https://www.skool.com/ai-automation-society/were-hiring-freelance-ai-developer-start-immediately-2?p=1c7ac68c</x:v>
      </x:c>
      <x:c r="H19" t="str">
        <x:v>AI product / chatbot automation</x:v>
      </x:c>
      <x:c r="I19" t="str">
        <x:v>Post requested a freelance AI developer for custom chatbots, AI agents, n8n or Voiceflow workflows, and practical shipped proof</x:v>
      </x:c>
      <x:c r="J19" t="str">
        <x:v>Fixed-scope AI agent or n8n task build</x:v>
      </x:c>
      <x:c r="K19" t="str">
        <x:v>contacted_fixed_scope</x:v>
      </x:c>
      <x:c r="L19" t="str">
        <x:v>2026-05-09</x:v>
      </x:c>
      <x:c r="M19" t="str">
        <x:v>Watch for reply; if positive, ask for one task, target stack, and definition of done</x:v>
      </x:c>
      <x:c r="N19" t="str">
        <x:v>2026-05-11</x:v>
      </x:c>
      <x:c r="O19" t="str">
        <x:v>gmail:19e0903b1170799f</x:v>
      </x:c>
      <x:c r="P19" t="str">
        <x:v>Sent USD 1200-1800 fixed first task offer with demo link</x:v>
      </x:c>
    </x:row>
    <x:row r="20">
      <x:c r="A20" t="str">
        <x:v>C10K-018</x:v>
      </x:c>
      <x:c r="B20" t="str">
        <x:v>2026-05-09</x:v>
      </x:c>
      <x:c r="C20" t="str">
        <x:v>Codex10k</x:v>
      </x:c>
      <x:c r="D20" t="str">
        <x:v>Krishna Aggarwal</x:v>
      </x:c>
      <x:c r="E20" t="str">
        <x:v>talktokrishna321@gmail.com</x:v>
      </x:c>
      <x:c r="F20" t="str">
        <x:v>Skool public post</x:v>
      </x:c>
      <x:c r="G20" t="str">
        <x:v>https://www.skool.com/%40f2fb6908044349598d33f95bdad887f1?g=5minai-2861</x:v>
      </x:c>
      <x:c r="H20" t="str">
        <x:v>AI workflow collaboration</x:v>
      </x:c>
      <x:c r="I20" t="str">
        <x:v>Public post asked for a n8n developer to collaborate on smart automations and AI-powered workflows; profile is recently active</x:v>
      </x:c>
      <x:c r="J20" t="str">
        <x:v>Fixed-scope n8n automation collaboration</x:v>
      </x:c>
      <x:c r="K20" t="str">
        <x:v>contacted_fixed_scope</x:v>
      </x:c>
      <x:c r="L20" t="str">
        <x:v>2026-05-09</x:v>
      </x:c>
      <x:c r="M20" t="str">
        <x:v>Watch for reply; if positive, request apps involved, current manual steps, and desired output</x:v>
      </x:c>
      <x:c r="N20" t="str">
        <x:v>2026-05-11</x:v>
      </x:c>
      <x:c r="O20" t="str">
        <x:v>gmail:19e0903cedbdd1bf</x:v>
      </x:c>
      <x:c r="P20" t="str">
        <x:v>Sent USD 1200-2000 fixed workflow group offer</x:v>
      </x:c>
    </x:row>
    <x:row r="21">
      <x:c r="A21" t="str">
        <x:v>C10K-019</x:v>
      </x:c>
      <x:c r="B21" t="str">
        <x:v>2026-05-09</x:v>
      </x:c>
      <x:c r="C21" t="str">
        <x:v>Codex10k</x:v>
      </x:c>
      <x:c r="D21" t="str">
        <x:v>Peernation / KnowledgeIQ</x:v>
      </x:c>
      <x:c r="E21" t="str">
        <x:v>bob@peernation.co</x:v>
      </x:c>
      <x:c r="F21" t="str">
        <x:v>n8n Community public post</x:v>
      </x:c>
      <x:c r="G21" t="str">
        <x:v>https://community.n8n.io/t/looking-for-experience-n8n-builder-1-to-2-years-experience/245570</x:v>
      </x:c>
      <x:c r="H21" t="str">
        <x:v>Platform workflow automation</x:v>
      </x:c>
      <x:c r="I21" t="str">
        <x:v>Public n8n post asked builders to email Bob for platform workflow development with hands-on n8n experience</x:v>
      </x:c>
      <x:c r="J21" t="str">
        <x:v>Fixed-scope platform workflow build</x:v>
      </x:c>
      <x:c r="K21" t="str">
        <x:v>contacted_fixed_scope</x:v>
      </x:c>
      <x:c r="L21" t="str">
        <x:v>2026-05-09</x:v>
      </x:c>
      <x:c r="M21" t="str">
        <x:v>Watch for reply; if positive, ask for one workflow description, tools, and acceptance criteria</x:v>
      </x:c>
      <x:c r="N21" t="str">
        <x:v>2026-05-11</x:v>
      </x:c>
      <x:c r="O21" t="str">
        <x:v>gmail:19e0903f1d028522</x:v>
      </x:c>
      <x:c r="P21" t="str">
        <x:v>Sent USD 1200-1800 first milestone offer using test workspace/dummy data boundary</x:v>
      </x:c>
    </x:row>
    <x:row r="22">
      <x:c r="A22" t="str">
        <x:v>C10K-020</x:v>
      </x:c>
      <x:c r="B22" t="str">
        <x:v>2026-05-09</x:v>
      </x:c>
      <x:c r="C22" t="str">
        <x:v>Codex10k</x:v>
      </x:c>
      <x:c r="D22" t="str">
        <x:v>SB CAIO / Aman Gupta</x:v>
      </x:c>
      <x:c r="E22" t="str">
        <x:v>guptaaman060491@gmail.com; nematovjasurbek577@gmail.com</x:v>
      </x:c>
      <x:c r="F22" t="str">
        <x:v>Skool public post</x:v>
      </x:c>
      <x:c r="G22" t="str">
        <x:v>https://www.skool.com/seamless-8336/hiring-for-ai-automation-devs-n8n-or-makecom-experience-preferred</x:v>
      </x:c>
      <x:c r="H22" t="str">
        <x:v>AI automation agency overflow</x:v>
      </x:c>
      <x:c r="I22" t="str">
        <x:v>Post requested contractual AI automation specialists for n8n/Make, APIs, AI agents, and real-world business workflows</x:v>
      </x:c>
      <x:c r="J22" t="str">
        <x:v>Fixed-scope overflow n8n/Make workflow build</x:v>
      </x:c>
      <x:c r="K22" t="str">
        <x:v>contacted_fixed_scope</x:v>
      </x:c>
      <x:c r="L22" t="str">
        <x:v>2026-05-09</x:v>
      </x:c>
      <x:c r="M22" t="str">
        <x:v>Watch for reply; if positive, request one active client workflow, current manual process, and desired output</x:v>
      </x:c>
      <x:c r="N22" t="str">
        <x:v>2026-05-11</x:v>
      </x:c>
      <x:c r="O22" t="str">
        <x:v>gmail:19e09040f45a4f6b</x:v>
      </x:c>
      <x:c r="P22" t="str">
        <x:v>Sent USD 1200-2500 overflow project offer; explicitly framed as fixed-scope execution partner</x:v>
      </x:c>
    </x:row>
    <x:row r="23">
      <x:c r="A23" t="str">
        <x:v>C10K-021</x:v>
      </x:c>
      <x:c r="B23" t="str">
        <x:v>2026-05-09</x:v>
      </x:c>
      <x:c r="C23" t="str">
        <x:v>Codex10k</x:v>
      </x:c>
      <x:c r="D23" t="str">
        <x:v>Elite Staffing Solutions / Wichita Staffing</x:v>
      </x:c>
      <x:c r="E23" t="str">
        <x:v>info@wichitastaffing.com</x:v>
      </x:c>
      <x:c r="F23" t="str">
        <x:v>Make Community public post / official site</x:v>
      </x:c>
      <x:c r="G23" t="str">
        <x:v>https://community.make.com/t/hiring-make-com-monday-com-expert-help-scale-my-staffing-business-with-smart-ai-automations/107133</x:v>
      </x:c>
      <x:c r="H23" t="str">
        <x:v>Staffing order intake automation</x:v>
      </x:c>
      <x:c r="I23" t="str">
        <x:v>Founder asked for Make.com + Monday.com automation to parse forwarded order emails, extract details with AI, check Monday.com via GraphQL, create AutoFlow items, and alert on blocked orders</x:v>
      </x:c>
      <x:c r="J23" t="str">
        <x:v>Fixed-scope order-intake stabilization build</x:v>
      </x:c>
      <x:c r="K23" t="str">
        <x:v>contacted_fixed_scope</x:v>
      </x:c>
      <x:c r="L23" t="str">
        <x:v>2026-05-09</x:v>
      </x:c>
      <x:c r="M23" t="str">
        <x:v>Watch for reply; if positive, request 3-5 failing order emails, Monday board fields, and successful AutoFlow item shape</x:v>
      </x:c>
      <x:c r="N23" t="str">
        <x:v>2026-05-11</x:v>
      </x:c>
      <x:c r="O23" t="str">
        <x:v>gmail:19e0905b7db83be0</x:v>
      </x:c>
      <x:c r="P23" t="str">
        <x:v>Sent USD 1800 fixed Order Intake v1 offer; official contact page listed info@wichitastaffing.com</x:v>
      </x:c>
    </x:row>
    <x:row r="24">
      <x:c r="A24" t="str">
        <x:v>C10K-022</x:v>
      </x:c>
      <x:c r="B24" t="str">
        <x:v>2026-05-09</x:v>
      </x:c>
      <x:c r="C24" t="str">
        <x:v>Codex10k</x:v>
      </x:c>
      <x:c r="D24" t="str">
        <x:v>Graeham Watts / Intero Real Estate</x:v>
      </x:c>
      <x:c r="E24" t="str">
        <x:v>graehamwatts@gmail.com</x:v>
      </x:c>
      <x:c r="F24" t="str">
        <x:v>n8n Community public post / public real estate profile</x:v>
      </x:c>
      <x:c r="G24" t="str">
        <x:v>https://community.n8n.io/t/looking-for-an-experienced-n8n-developer-to-help-implement-a-production-real-estate-automation-system-paid/247380</x:v>
      </x:c>
      <x:c r="H24" t="str">
        <x:v>Real estate automation</x:v>
      </x:c>
      <x:c r="I24" t="str">
        <x:v>Public post requested paid help on production GoHighLevel + n8n + SearchAtlas real estate workflows for lead routing, follow-up, nurture, outreach, messaging, video, and calls</x:v>
      </x:c>
      <x:c r="J24" t="str">
        <x:v>Fixed-scope GHL+n8n reliability sprint</x:v>
      </x:c>
      <x:c r="K24" t="str">
        <x:v>contacted_fixed_scope</x:v>
      </x:c>
      <x:c r="L24" t="str">
        <x:v>2026-05-09</x:v>
      </x:c>
      <x:c r="M24" t="str">
        <x:v>Watch for reply; if positive, request highest-risk workflow, GHL trigger, success/failure behavior, and sample lead records</x:v>
      </x:c>
      <x:c r="N24" t="str">
        <x:v>2026-05-11</x:v>
      </x:c>
      <x:c r="O24" t="str">
        <x:v>gmail:19e0905d640c02d5</x:v>
      </x:c>
      <x:c r="P24" t="str">
        <x:v>Sent USD 1800-2500 reliability milestone offer; email found on public real estate profiles/listings</x:v>
      </x:c>
    </x:row>
    <x:row r="25">
      <x:c r="A25" t="str">
        <x:v>C10K-023</x:v>
      </x:c>
      <x:c r="B25" t="str">
        <x:v>2026-05-09</x:v>
      </x:c>
      <x:c r="C25" t="str">
        <x:v>Codex10k</x:v>
      </x:c>
      <x:c r="D25" t="str">
        <x:v>nocodecreative.io / Wayne Simpson</x:v>
      </x:c>
      <x:c r="E25" t="str">
        <x:v>wayne@nocodecreative.io; hello@sales.nocodecreative.io</x:v>
      </x:c>
      <x:c r="F25" t="str">
        <x:v>n8n Community public post / official site</x:v>
      </x:c>
      <x:c r="G25" t="str">
        <x:v>https://community.n8n.io/t/we-re-hiring/247068</x:v>
      </x:c>
      <x:c r="H25" t="str">
        <x:v>Automation agency overflow</x:v>
      </x:c>
      <x:c r="I25" t="str">
        <x:v>Public post sought contract/freelance n8n developer help; official site shows AI, low-code, API, workflow automation, and app development services</x:v>
      </x:c>
      <x:c r="J25" t="str">
        <x:v>Fixed-scope n8n overflow build</x:v>
      </x:c>
      <x:c r="K25" t="str">
        <x:v>contacted_fixed_scope</x:v>
      </x:c>
      <x:c r="L25" t="str">
        <x:v>2026-05-09</x:v>
      </x:c>
      <x:c r="M25" t="str">
        <x:v>Watch for reply; if positive, request client-safe brief, tools involved, and definition of done</x:v>
      </x:c>
      <x:c r="N25" t="str">
        <x:v>2026-05-11</x:v>
      </x:c>
      <x:c r="O25" t="str">
        <x:v>gmail:19e0905f6b7f8fe0</x:v>
      </x:c>
      <x:c r="P25" t="str">
        <x:v>Sent USD 1500-2500 fixed overflow build offer to founder and sales inbox</x:v>
      </x:c>
    </x:row>
    <x:row r="26">
      <x:c r="A26" t="str">
        <x:v>C10K-024</x:v>
      </x:c>
      <x:c r="B26" t="str">
        <x:v>2026-05-09</x:v>
      </x:c>
      <x:c r="C26" t="str">
        <x:v>Codex10k</x:v>
      </x:c>
      <x:c r="D26" t="str">
        <x:v>Merch Club</x:v>
      </x:c>
      <x:c r="E26" t="str">
        <x:v>jay@merchclub.com</x:v>
      </x:c>
      <x:c r="F26" t="str">
        <x:v>Reddit public post</x:v>
      </x:c>
      <x:c r="G26" t="str">
        <x:v>https://www.reddit.com/r/n8n/comments/1q52ks7/hiringremote_skilled_n8n_workflow_automation/</x:v>
      </x:c>
      <x:c r="H26" t="str">
        <x:v>Ecommerce shipping notification automation</x:v>
      </x:c>
      <x:c r="I26" t="str">
        <x:v>Public post asked for n8n shipping notification automation using Google Sheets, carrier APIs, OpenAI review prompts, weather, Supermail/Gmail, logging, and delay alerts</x:v>
      </x:c>
      <x:c r="J26" t="str">
        <x:v>Fixed-scope Shipping Notification v1</x:v>
      </x:c>
      <x:c r="K26" t="str">
        <x:v>contacted_fixed_scope</x:v>
      </x:c>
      <x:c r="L26" t="str">
        <x:v>2026-05-09</x:v>
      </x:c>
      <x:c r="M26" t="str">
        <x:v>Watch for reply; if positive, request sample sheet structure, example order row, preferred email service, and carrier API</x:v>
      </x:c>
      <x:c r="N26" t="str">
        <x:v>2026-05-11</x:v>
      </x:c>
      <x:c r="O26" t="str">
        <x:v>gmail:19e090615f966eaf</x:v>
      </x:c>
      <x:c r="P26" t="str">
        <x:v>Sent USD 1800 fixed Shipping Notification v1 offer</x:v>
      </x:c>
    </x:row>
    <x:row r="27">
      <x:c r="A27" t="str">
        <x:v>C10K-025</x:v>
      </x:c>
      <x:c r="B27" t="str">
        <x:v>2026-05-09</x:v>
      </x:c>
      <x:c r="C27" t="str">
        <x:v>Codex10k</x:v>
      </x:c>
      <x:c r="D27" t="str">
        <x:v>Mcode Consulting</x:v>
      </x:c>
      <x:c r="E27" t="str">
        <x:v>anushka@mcodehq.com</x:v>
      </x:c>
      <x:c r="F27" t="str">
        <x:v>Reddit public post</x:v>
      </x:c>
      <x:c r="G27" t="str">
        <x:v>https://www.reddit.com/r/n8n/comments/1rxs43t/hiring_video_ai_automation_farm_for_product/</x:v>
      </x:c>
      <x:c r="H27" t="str">
        <x:v>Product video automation</x:v>
      </x:c>
      <x:c r="I27" t="str">
        <x:v>Public post asked for a Video AI Automation Farm for product content with company, website, and email listed</x:v>
      </x:c>
      <x:c r="J27" t="str">
        <x:v>Fixed-scope Video Automation v1</x:v>
      </x:c>
      <x:c r="K27" t="str">
        <x:v>contacted_fixed_scope</x:v>
      </x:c>
      <x:c r="L27" t="str">
        <x:v>2026-05-09</x:v>
      </x:c>
      <x:c r="M27" t="str">
        <x:v>Watch for reply; if positive, request target video format, product input fields, preferred generation tools, and first-batch acceptance checks</x:v>
      </x:c>
      <x:c r="N27" t="str">
        <x:v>2026-05-11</x:v>
      </x:c>
      <x:c r="O27" t="str">
        <x:v>gmail:19e090bef5321288</x:v>
      </x:c>
      <x:c r="P27" t="str">
        <x:v>Sent USD 2500 fixed Video Automation v1 offer using dummy product data/test assets first</x:v>
      </x:c>
    </x:row>
    <x:row r="28">
      <x:c r="A28" t="str">
        <x:v>C10K-026</x:v>
      </x:c>
      <x:c r="B28" t="str">
        <x:v>2026-05-09</x:v>
      </x:c>
      <x:c r="C28" t="str">
        <x:v>Codex10k</x:v>
      </x:c>
      <x:c r="D28" t="str">
        <x:v>Next Level Growth Partner / Tom Santella</x:v>
      </x:c>
      <x:c r="E28" t="str">
        <x:v>tom@nextlevelgrowthpartner.com</x:v>
      </x:c>
      <x:c r="F28" t="str">
        <x:v>Skool public post</x:v>
      </x:c>
      <x:c r="G28" t="str">
        <x:v>https://www.skool.com/ai-automation-society/hiring-6ae4ab1f?p=b7283e18</x:v>
      </x:c>
      <x:c r="H28" t="str">
        <x:v>Agency fulfillment automation</x:v>
      </x:c>
      <x:c r="I28" t="str">
        <x:v>Public post asked for n8n fulfillment around outreach workflows, GHL integrations, voice AI, chat widgets, and lead-conversion automations</x:v>
      </x:c>
      <x:c r="J28" t="str">
        <x:v>Compliance-first lead-response workflow</x:v>
      </x:c>
      <x:c r="K28" t="str">
        <x:v>contacted_fixed_scope</x:v>
      </x:c>
      <x:c r="L28" t="str">
        <x:v>2026-05-09</x:v>
      </x:c>
      <x:c r="M28" t="str">
        <x:v>Watch for reply; if positive, keep strict no-spam/no-deceptive-autonomy boundary and request one client-safe workflow brief</x:v>
      </x:c>
      <x:c r="N28" t="str">
        <x:v>2026-05-11</x:v>
      </x:c>
      <x:c r="O28" t="str">
        <x:v>gmail:19e090c15f5b9de0</x:v>
      </x:c>
      <x:c r="P28" t="str">
        <x:v>Sent USD 2500 fixed compliant lead-response/booked-call workflow offer; explicitly refused spam, deceptive impersonation, and policy-evasion flows</x:v>
      </x:c>
    </x:row>
    <x:row r="29">
      <x:c r="A29" t="str">
        <x:v>C10K-027</x:v>
      </x:c>
      <x:c r="B29" t="str">
        <x:v>2026-05-09</x:v>
      </x:c>
      <x:c r="C29" t="str">
        <x:v>Codex10k</x:v>
      </x:c>
      <x:c r="D29" t="str">
        <x:v>Arif Asgar</x:v>
      </x:c>
      <x:c r="E29" t="str">
        <x:v>arif.askerov99@gmail.com</x:v>
      </x:c>
      <x:c r="F29" t="str">
        <x:v>Skool public post</x:v>
      </x:c>
      <x:c r="G29" t="str">
        <x:v>https://www.skool.com/ai-automation-society/looking-for-senior-n8n-makecom-automation-expert-2-years-experience?p=bfc5565c</x:v>
      </x:c>
      <x:c r="H29" t="str">
        <x:v>Automation agency overflow</x:v>
      </x:c>
      <x:c r="I29" t="str">
        <x:v>Public post asked for experienced n8n/Make specialist for complex custom workflows across legal, real estate, healthcare, and e-commerce</x:v>
      </x:c>
      <x:c r="J29" t="str">
        <x:v>Fixed-scope n8n/Make overflow build</x:v>
      </x:c>
      <x:c r="K29" t="str">
        <x:v>contacted_fixed_scope</x:v>
      </x:c>
      <x:c r="L29" t="str">
        <x:v>2026-05-09</x:v>
      </x:c>
      <x:c r="M29" t="str">
        <x:v>Watch for reply; if positive, request tools involved, current manual process, exact expected output, and acceptance checks</x:v>
      </x:c>
      <x:c r="N29" t="str">
        <x:v>2026-05-11</x:v>
      </x:c>
      <x:c r="O29" t="str">
        <x:v>gmail:19e090c353941289</x:v>
      </x:c>
      <x:c r="P29" t="str">
        <x:v>Sent USD 1500-2500 fixed workflow group offer; framed as overflow implementation capacity, not employee role</x:v>
      </x:c>
    </x:row>
    <x:row r="30">
      <x:c r="A30" t="str">
        <x:v>C10K-028</x:v>
      </x:c>
      <x:c r="B30" t="str">
        <x:v>2026-05-09</x:v>
      </x:c>
      <x:c r="C30" t="str">
        <x:v>Codex10k</x:v>
      </x:c>
      <x:c r="D30" t="str">
        <x:v>Momentum Digital</x:v>
      </x:c>
      <x:c r="E30" t="str">
        <x:v>hi@needmomentum.com</x:v>
      </x:c>
      <x:c r="F30" t="str">
        <x:v>Glassdoor public posting</x:v>
      </x:c>
      <x:c r="G30" t="str">
        <x:v>https://www.glassdoor.com/job-listing/gohighlevel-ghl-expert-%E2%80%93-marketing-and-sales-systems-momentum-digital-JV_KO0%2C52_KE53%2C69.htm?jl=1009934837935</x:v>
      </x:c>
      <x:c r="H30" t="str">
        <x:v>GHL workflow systems</x:v>
      </x:c>
      <x:c r="I30" t="str">
        <x:v>Public posting sought GoHighLevel expert for marketing and sales systems; fit as fixed-scope workflow sprint instead of full-time role</x:v>
      </x:c>
      <x:c r="J30" t="str">
        <x:v>Fixed-scope GHL workflow sprint</x:v>
      </x:c>
      <x:c r="K30" t="str">
        <x:v>contacted_fixed_scope</x:v>
      </x:c>
      <x:c r="L30" t="str">
        <x:v>2026-05-09</x:v>
      </x:c>
      <x:c r="M30" t="str">
        <x:v>Watch for reply; if positive, request one pipeline/client snapshot, current failure path, and acceptance checklist</x:v>
      </x:c>
      <x:c r="N30" t="str">
        <x:v>2026-05-11</x:v>
      </x:c>
      <x:c r="O30" t="str">
        <x:v>gmail:19e090d9ae99fe47</x:v>
      </x:c>
      <x:c r="P30" t="str">
        <x:v>Sent USD 2500 fixed 10-day GHL workflow sprint; framed as not full-time</x:v>
      </x:c>
    </x:row>
    <x:row r="31">
      <x:c r="A31" t="str">
        <x:v>C10K-029</x:v>
      </x:c>
      <x:c r="B31" t="str">
        <x:v>2026-05-09</x:v>
      </x:c>
      <x:c r="C31" t="str">
        <x:v>Codex10k</x:v>
      </x:c>
      <x:c r="D31" t="str">
        <x:v>Gachet Ponzellini LLC</x:v>
      </x:c>
      <x:c r="E31" t="str">
        <x:v>admin@gachetponzellini.com</x:v>
      </x:c>
      <x:c r="F31" t="str">
        <x:v>Reddit public post</x:v>
      </x:c>
      <x:c r="G31" t="str">
        <x:v>https://www.reddit.com/r/n8n/comments/1qmbmd0/looking_for_n8n_automation_dev_ocr_parsing/</x:v>
      </x:c>
      <x:c r="H31" t="str">
        <x:v>Tax document OCR automation</x:v>
      </x:c>
      <x:c r="I31" t="str">
        <x:v>Public post listed a USD 1200 fixed n8n OCR/parsing/Postgres project with direct email and sensitive tax-doc constraints</x:v>
      </x:c>
      <x:c r="J31" t="str">
        <x:v>Fixed-scope n8n OCR/Postgres build</x:v>
      </x:c>
      <x:c r="K31" t="str">
        <x:v>contacted_fixed_scope</x:v>
      </x:c>
      <x:c r="L31" t="str">
        <x:v>2026-05-09</x:v>
      </x:c>
      <x:c r="M31" t="str">
        <x:v>Watch for reply only; no further outbound unless they respond because a prior separate-run message existed</x:v>
      </x:c>
      <x:c r="N31" t="str">
        <x:v>2026-05-11</x:v>
      </x:c>
      <x:c r="O31" t="str">
        <x:v>gmail:19e091058299e02a</x:v>
      </x:c>
      <x:c r="P31" t="str">
        <x:v>Sent USD 1200 fixed first-release offer with sanitized/redacted sample boundary; prior separate-run message gmail:19e08dedf46b363f found after send</x:v>
      </x:c>
    </x:row>
    <x:row r="32">
      <x:c r="A32" t="str">
        <x:v>C10K-030</x:v>
      </x:c>
      <x:c r="B32" t="str">
        <x:v>2026-05-09</x:v>
      </x:c>
      <x:c r="C32" t="str">
        <x:v>Codex10k</x:v>
      </x:c>
      <x:c r="D32" t="str">
        <x:v>Bendito Soft Tech Pvt Ltd</x:v>
      </x:c>
      <x:c r="E32" t="str">
        <x:v>contact@benditosofttech.com</x:v>
      </x:c>
      <x:c r="F32" t="str">
        <x:v>LinkedIn/Glassdoor public posting</x:v>
      </x:c>
      <x:c r="G32" t="str">
        <x:v>https://in.linkedin.com/jobs/view/senior-ghl-automation-ai-developer-at-bendito-soft-tech-pvt-ltd-4406932933</x:v>
      </x:c>
      <x:c r="H32" t="str">
        <x:v>GHL agency delivery overflow</x:v>
      </x:c>
      <x:c r="I32" t="str">
        <x:v>Public posting asked for GHL snapshots, CRM pipelines, workflows, email/SMS automation, webhooks, Make/Zapier, DNS/email setup, and AI-assisted debugging</x:v>
      </x:c>
      <x:c r="J32" t="str">
        <x:v>Fixed-scope GHL/AI automation pilot</x:v>
      </x:c>
      <x:c r="K32" t="str">
        <x:v>contacted_fixed_scope</x:v>
      </x:c>
      <x:c r="L32" t="str">
        <x:v>2026-05-09</x:v>
      </x:c>
      <x:c r="M32" t="str">
        <x:v>Watch for reply; if positive, request one client-safe snapshot/workflow brief and define test-subaccount access</x:v>
      </x:c>
      <x:c r="N32" t="str">
        <x:v>2026-05-11</x:v>
      </x:c>
      <x:c r="O32" t="str">
        <x:v>gmail:19e091083db2bcb0</x:v>
      </x:c>
      <x:c r="P32" t="str">
        <x:v>Sent USD 1500 fixed 5-business-day overflow pilot; no live client data until access boundaries agreed</x:v>
      </x:c>
    </x:row>
    <x:row r="33">
      <x:c r="A33" t="str">
        <x:v>C10K-031</x:v>
      </x:c>
      <x:c r="B33" t="str">
        <x:v>2026-05-09</x:v>
      </x:c>
      <x:c r="C33" t="str">
        <x:v>Codex10k</x:v>
      </x:c>
      <x:c r="D33" t="str">
        <x:v>Terborg Zorg</x:v>
      </x:c>
      <x:c r="E33" t="str">
        <x:v>info@terborgzorg.nl</x:v>
      </x:c>
      <x:c r="F33" t="str">
        <x:v>Reddit public post / official contact page</x:v>
      </x:c>
      <x:c r="G33" t="str">
        <x:v>https://www.reddit.com/r/n8n/comments/1sti7jh/automation_expert_wanted/</x:v>
      </x:c>
      <x:c r="H33" t="str">
        <x:v>Healthcare recruitment automation</x:v>
      </x:c>
      <x:c r="I33" t="str">
        <x:v>Public post asked for automation ownership across Meta Ads, n8n, Supabase, GoHighLevel, Bendy, Otentica, and Claude AI from ad click to signed contract</x:v>
      </x:c>
      <x:c r="J33" t="str">
        <x:v>GDPR-safe n8n/GHL/Supabase hardening sprint</x:v>
      </x:c>
      <x:c r="K33" t="str">
        <x:v>contacted_fixed_scope</x:v>
      </x:c>
      <x:c r="L33" t="str">
        <x:v>2026-05-09</x:v>
      </x:c>
      <x:c r="M33" t="str">
        <x:v>Watch for reply; if positive, request anonymized workflow map/screenshots and the highest-failure handoff only</x:v>
      </x:c>
      <x:c r="N33" t="str">
        <x:v>2026-05-11</x:v>
      </x:c>
      <x:c r="O33" t="str">
        <x:v>gmail:19e0910ab68fecff</x:v>
      </x:c>
      <x:c r="P33" t="str">
        <x:v>Sent USD 2500 7-day hardening sprint offer; explicitly no candidate, patient, or contract data by email</x:v>
      </x:c>
    </x:row>
    <x:row r="34">
      <x:c r="A34" t="str">
        <x:v>C10K-032</x:v>
      </x:c>
      <x:c r="B34" t="str">
        <x:v>2026-05-09</x:v>
      </x:c>
      <x:c r="C34" t="str">
        <x:v>Codex10k</x:v>
      </x:c>
      <x:c r="D34" t="str">
        <x:v>Swoopa / Rory</x:v>
      </x:c>
      <x:c r="E34" t="str">
        <x:v>rory@getswoopa.com</x:v>
      </x:c>
      <x:c r="F34" t="str">
        <x:v>n8n Community public post</x:v>
      </x:c>
      <x:c r="G34" t="str">
        <x:v>https://community.n8n.io/t/we-are-looking-for-someone-who-has-experience-with-n8n-and-ghl/279268</x:v>
      </x:c>
      <x:c r="H34" t="str">
        <x:v>SaaS lead/support/trial follow-up</x:v>
      </x:c>
      <x:c r="I34" t="str">
        <x:v>Public post asked for help making sure no lead, support request, or trial user is left without follow-up across GHL, OpenPhone, Gmail, and workflow systems</x:v>
      </x:c>
      <x:c r="J34" t="str">
        <x:v>Fixed-scope n8n + GHL reliability sprint</x:v>
      </x:c>
      <x:c r="K34" t="str">
        <x:v>contacted_fixed_scope</x:v>
      </x:c>
      <x:c r="L34" t="str">
        <x:v>2026-05-09</x:v>
      </x:c>
      <x:c r="M34" t="str">
        <x:v>Watch for reply; if positive, request the single follow-up path leaking the most value plus anonymized payloads/test account</x:v>
      </x:c>
      <x:c r="N34" t="str">
        <x:v>2026-05-11</x:v>
      </x:c>
      <x:c r="O34" t="str">
        <x:v>gmail:19e0911955a5ca92</x:v>
      </x:c>
      <x:c r="P34" t="str">
        <x:v>Sent USD 2500 fixed stabilized workflow group offer with test-contact and no-customer-data boundary</x:v>
      </x:c>
    </x:row>
    <x:row r="35">
      <x:c r="A35" t="str">
        <x:v>C10K-033</x:v>
      </x:c>
      <x:c r="B35" t="str">
        <x:v>2026-05-09</x:v>
      </x:c>
      <x:c r="C35" t="str">
        <x:v>Codex10k</x:v>
      </x:c>
      <x:c r="D35" t="str">
        <x:v>GoodieX Tech LLC</x:v>
      </x:c>
      <x:c r="E35" t="str">
        <x:v>admin@goodiex-tech.com</x:v>
      </x:c>
      <x:c r="F35" t="str">
        <x:v>Reddit public post / official site</x:v>
      </x:c>
      <x:c r="G35" t="str">
        <x:v>https://www.reddit.com/r/n8n/comments/1r69egp/looking_for_n8n_automation_expert/</x:v>
      </x:c>
      <x:c r="H35" t="str">
        <x:v>Clothing sales lifecycle automation</x:v>
      </x:c>
      <x:c r="I35" t="str">
        <x:v>Public post requested an n8n automation expert to manage the full sales lifecycle for a clothing business</x:v>
      </x:c>
      <x:c r="J35" t="str">
        <x:v>Fixed-scope n8n sales-lifecycle sprint</x:v>
      </x:c>
      <x:c r="K35" t="str">
        <x:v>intro_video_sent_awaiting_response</x:v>
      </x:c>
      <x:c r="L35" t="str">
        <x:v>2026-05-09</x:v>
      </x:c>
      <x:c r="M35" t="str">
        <x:v>Wait for GoodieX to send current tools and the highest-friction sales step; if positive prepare Stripe Payment Link or hosted invoice for USD 1800 v1 scope</x:v>
      </x:c>
      <x:c r="N35" t="str">
        <x:v>2026-05-10</x:v>
      </x:c>
      <x:c r="O35" t="str">
        <x:v>gmail:19e0911b9155643c; gmail:19e0d8f21a4d07e1; gmail:19e0dbc2e35630dc; goodiex-intro.html; outputs/codex10k/goodiex-n8n-sales-lifecycle-blueprint.json; docs/goodiex-intro-video-script.md; docs/goodiex-v1-scope.md</x:v>
      </x:c>
      <x:c r="P35" t="str">
        <x:v>Krystal Boyd replied asking for an introduction video. User approved the response and Gmail reply 19e0dbc2e35630dc sent the client-facing intro walkthrough link; sample n8n blueprint added to the public page; payment-ready USD 1800 v1 scope is prepared but not sent.</x:v>
      </x:c>
    </x:row>
    <x:row r="36">
      <x:c r="A36" t="str">
        <x:v>C10K-034</x:v>
      </x:c>
      <x:c r="B36" t="str">
        <x:v>2026-05-09</x:v>
      </x:c>
      <x:c r="C36" t="str">
        <x:v>Codex10k</x:v>
      </x:c>
      <x:c r="D36" t="str">
        <x:v>Town of Duck NC</x:v>
      </x:c>
      <x:c r="E36" t="str">
        <x:v>knickens@ducknc.gov</x:v>
      </x:c>
      <x:c r="F36" t="str">
        <x:v>Public RFP page</x:v>
      </x:c>
      <x:c r="G36" t="str">
        <x:v>https://ducknc.gov/news/request-for-proposals-website-redesign-cms-implementation/</x:v>
      </x:c>
      <x:c r="H36" t="str">
        <x:v>Municipal website CMS QA</x:v>
      </x:c>
      <x:c r="I36" t="str">
        <x:v>Public RFP requested comprehensive website redesign and CMS implementation with proposal deadline May 14 2026</x:v>
      </x:c>
      <x:c r="J36" t="str">
        <x:v>Accessibility/CMS workflow QA support option</x:v>
      </x:c>
      <x:c r="K36" t="str">
        <x:v>contacted_fixed_scope</x:v>
      </x:c>
      <x:c r="L36" t="str">
        <x:v>2026-05-09</x:v>
      </x:c>
      <x:c r="M36" t="str">
        <x:v>Watch for procurement reply; if positive, send one-page scope and acceptance checklist for USD 6500 support option</x:v>
      </x:c>
      <x:c r="N36" t="str">
        <x:v>2026-05-11</x:v>
      </x:c>
      <x:c r="O36" t="str">
        <x:v>gmail:19e0918f02a759bd</x:v>
      </x:c>
      <x:c r="P36" t="str">
        <x:v>Sent USD 6500 10-business-day accessibility/CMS QA support option; explicitly not a prime full-service municipal redesign-firm submission</x:v>
      </x:c>
    </x:row>
    <x:row r="37">
      <x:c r="A37" t="str">
        <x:v>C10K-035</x:v>
      </x:c>
      <x:c r="B37" t="str">
        <x:v>2026-05-09</x:v>
      </x:c>
      <x:c r="C37" t="str">
        <x:v>Codex10k</x:v>
      </x:c>
      <x:c r="D37" t="str">
        <x:v>Hunger Task Force</x:v>
      </x:c>
      <x:c r="E37" t="str">
        <x:v>zachary@hungertaskforce.org</x:v>
      </x:c>
      <x:c r="F37" t="str">
        <x:v>Public RFP page</x:v>
      </x:c>
      <x:c r="G37" t="str">
        <x:v>https://www.hungertaskforce.org/2026/03/18/website-redesign-rfp/</x:v>
      </x:c>
      <x:c r="H37" t="str">
        <x:v>Nonprofit website/donation workflow QA</x:v>
      </x:c>
      <x:c r="I37" t="str">
        <x:v>Public RFP described full website rebuild focused on food-resource access, monthly recurring donations, WCAG 2.1 AA, and Blackbaud/Fundraise Up/Quorum/Galaxy integrations; proposal deadline passed but vendor selection listed May 20 2026</x:v>
      </x:c>
      <x:c r="J37" t="str">
        <x:v>Donation/accessibility launch QA support option</x:v>
      </x:c>
      <x:c r="K37" t="str">
        <x:v>contacted_fixed_scope</x:v>
      </x:c>
      <x:c r="L37" t="str">
        <x:v>2026-05-09</x:v>
      </x:c>
      <x:c r="M37" t="str">
        <x:v>Watch for reply; if positive, request CMS/integration stack and send one-page scope with acceptance criteria</x:v>
      </x:c>
      <x:c r="N37" t="str">
        <x:v>2026-05-11</x:v>
      </x:c>
      <x:c r="O37" t="str">
        <x:v>gmail:19e0919708d02b01</x:v>
      </x:c>
      <x:c r="P37" t="str">
        <x:v>Sent USD 9000 donation/accessibility/workflow QA support option for internal team or selected vendor; no donor/client/beneficiary data by email</x:v>
      </x:c>
    </x:row>
    <x:row r="38">
      <x:c r="A38" t="str">
        <x:v>C10K-036</x:v>
      </x:c>
      <x:c r="B38" t="str">
        <x:v>2026-05-09</x:v>
      </x:c>
      <x:c r="C38" t="str">
        <x:v>Codex10k</x:v>
      </x:c>
      <x:c r="D38" t="str">
        <x:v>Idaho Forest Restoration Partnership</x:v>
      </x:c>
      <x:c r="E38" t="str">
        <x:v>russ7024@vandals.uidaho.edu; idahoforestpartners@gmail.com</x:v>
      </x:c>
      <x:c r="F38" t="str">
        <x:v>Public RFP page</x:v>
      </x:c>
      <x:c r="G38" t="str">
        <x:v>https://idahoforestpartners.org/services</x:v>
      </x:c>
      <x:c r="H38" t="str">
        <x:v>Nonprofit website beta launch QA</x:v>
      </x:c>
      <x:c r="I38" t="str">
        <x:v>Public RFP showed beta testing May 7-15 2026, final website launch June 1 2026, SiteKreator migration, resource library, redirects, accessibility, Aweber, donations/sponsorship CTAs, and staff training</x:v>
      </x:c>
      <x:c r="J38" t="str">
        <x:v>Website beta QA launch-support sprint</x:v>
      </x:c>
      <x:c r="K38" t="str">
        <x:v>contacted_fixed_scope</x:v>
      </x:c>
      <x:c r="L38" t="str">
        <x:v>2026-05-09</x:v>
      </x:c>
      <x:c r="M38" t="str">
        <x:v>Watch for reply; if positive, request beta/staging URL, selected CMS, resource-library status, and migration inventory</x:v>
      </x:c>
      <x:c r="N38" t="str">
        <x:v>2026-05-11</x:v>
      </x:c>
      <x:c r="O38" t="str">
        <x:v>gmail:19e09231a31216c8</x:v>
      </x:c>
      <x:c r="P38" t="str">
        <x:v>Sent USD 6500 7-10 business day migration/accessibility/resource-library launch QA support option; not a late replacement proposal</x:v>
      </x:c>
    </x:row>
    <x:row r="39">
      <x:c r="A39" t="str">
        <x:v>C10K-037</x:v>
      </x:c>
      <x:c r="B39" t="str">
        <x:v>2026-05-09</x:v>
      </x:c>
      <x:c r="C39" t="str">
        <x:v>Codex10k</x:v>
      </x:c>
      <x:c r="D39" t="str">
        <x:v>City of Waverly IA</x:v>
      </x:c>
      <x:c r="E39" t="str">
        <x:v>jljohnson@waverlyia.com</x:v>
      </x:c>
      <x:c r="F39" t="str">
        <x:v>Public RFP page</x:v>
      </x:c>
      <x:c r="G39" t="str">
        <x:v>https://www.waverlyia.com/news/city-of-waverly/city-of-waverly-w.aspx</x:v>
      </x:c>
      <x:c r="H39" t="str">
        <x:v>Municipal website launch QA</x:v>
      </x:c>
      <x:c r="I39" t="str">
        <x:v>Public RFP requested website redesign, development, hosting, and maintenance services with accessible, user-friendly, sustainable platform goals; proposal deadline already passed</x:v>
      </x:c>
      <x:c r="J39" t="str">
        <x:v>Website redesign launch QA support option</x:v>
      </x:c>
      <x:c r="K39" t="str">
        <x:v>contacted_fixed_scope</x:v>
      </x:c>
      <x:c r="L39" t="str">
        <x:v>2026-05-09</x:v>
      </x:c>
      <x:c r="M39" t="str">
        <x:v>Watch for reply; if positive, request current project/vendor status, staging timing, CMS, and priority citizen paths</x:v>
      </x:c>
      <x:c r="N39" t="str">
        <x:v>2026-05-11</x:v>
      </x:c>
      <x:c r="O39" t="str">
        <x:v>gmail:19e09234c800d9d4</x:v>
      </x:c>
      <x:c r="P39" t="str">
        <x:v>Sent USD 6500 7-10 business day accessibility/CMS/migration launch QA support option; explicitly not a late full redesign proposal</x:v>
      </x:c>
    </x:row>
    <x:row r="40">
      <x:c r="A40" t="str">
        <x:v>C10K-038</x:v>
      </x:c>
      <x:c r="B40" t="str">
        <x:v>2026-05-09</x:v>
      </x:c>
      <x:c r="C40" t="str">
        <x:v>Codex10k</x:v>
      </x:c>
      <x:c r="D40" t="str">
        <x:v>Chain Reaction Motorcycle School</x:v>
      </x:c>
      <x:c r="E40" t="str">
        <x:v>luke@chainreactionmotorcycleschool.com</x:v>
      </x:c>
      <x:c r="F40" t="str">
        <x:v>Reddit public post / official site</x:v>
      </x:c>
      <x:c r="G40" t="str">
        <x:v>https://www.reddit.com/r/AiAutomations/comments/1s599vw/looking_for_ai_automation_expert_to_build/</x:v>
      </x:c>
      <x:c r="H40" t="str">
        <x:v>Scheduling/payment automation</x:v>
      </x:c>
      <x:c r="I40" t="str">
        <x:v>Public post requested AI digital front office across Wix forms, Gmail, Stripe, Airtable, Make/Zapier, phone/SMS/email, scheduling, payments, enrollment tracking, and MSF eCourse timing</x:v>
      </x:c>
      <x:c r="J40" t="str">
        <x:v>Phase 1 scheduling/payment source-of-truth build</x:v>
      </x:c>
      <x:c r="K40" t="str">
        <x:v>contacted_fixed_scope</x:v>
      </x:c>
      <x:c r="L40" t="str">
        <x:v>2026-05-09</x:v>
      </x:c>
      <x:c r="M40" t="str">
        <x:v>Watch for reply; if positive, request workflow video or 3 anonymized examples and scope paid Phase 1</x:v>
      </x:c>
      <x:c r="N40" t="str">
        <x:v>2026-05-12</x:v>
      </x:c>
      <x:c r="O40" t="str">
        <x:v>gmail:19e092dbf9996651</x:v>
      </x:c>
      <x:c r="P40" t="str">
        <x:v>Sent USD 3500 Phase 1 offer; no student data by email; no promise of MSF RES browser automation before access review</x:v>
      </x:c>
    </x:row>
    <x:row r="41">
      <x:c r="A41" t="str">
        <x:v>C10K-039</x:v>
      </x:c>
      <x:c r="B41" t="str">
        <x:v>2026-05-09</x:v>
      </x:c>
      <x:c r="C41" t="str">
        <x:v>Codex10k</x:v>
      </x:c>
      <x:c r="D41" t="str">
        <x:v>Ferncliff Camp and Conference Center</x:v>
      </x:c>
      <x:c r="E41" t="str">
        <x:v>kimberly@ferncliff.org; info@ferncliff.org</x:v>
      </x:c>
      <x:c r="F41" t="str">
        <x:v>Public RFP page</x:v>
      </x:c>
      <x:c r="G41" t="str">
        <x:v>https://ferncliff.org/about/jobs/rfps/</x:v>
      </x:c>
      <x:c r="H41" t="str">
        <x:v>Nonprofit website launch QA</x:v>
      </x:c>
      <x:c r="I41" t="str">
        <x:v>Open website redesign RFP with May 25 proposal deadline; scope includes CampBrain, DonorPerfect, Constant Contact, ADP, Square, content migration, staff editing, accessibility, giving, camp, retreat, nature school, outreach, and store paths</x:v>
      </x:c>
      <x:c r="J41" t="str">
        <x:v>Donation/integration/accessibility QA support</x:v>
      </x:c>
      <x:c r="K41" t="str">
        <x:v>contacted_fixed_scope</x:v>
      </x:c>
      <x:c r="L41" t="str">
        <x:v>2026-05-09</x:v>
      </x:c>
      <x:c r="M41" t="str">
        <x:v>Watch for reply; if positive, send one-page acceptance checklist for support slice or selected vendor</x:v>
      </x:c>
      <x:c r="N41" t="str">
        <x:v>2026-05-14</x:v>
      </x:c>
      <x:c r="O41" t="str">
        <x:v>gmail:19e092de4305b72a</x:v>
      </x:c>
      <x:c r="P41" t="str">
        <x:v>Sent USD 4500 bounded QA/support option; not a prime redesign bid; no donor/camper/staff/applicant data by email</x:v>
      </x:c>
    </x:row>
    <x:row r="42">
      <x:c r="A42" t="str">
        <x:v>C10K-040</x:v>
      </x:c>
      <x:c r="B42" t="str">
        <x:v>2026-05-09</x:v>
      </x:c>
      <x:c r="C42" t="str">
        <x:v>Codex10k</x:v>
      </x:c>
      <x:c r="D42" t="str">
        <x:v>City of Hidden Hills CA</x:v>
      </x:c>
      <x:c r="E42" t="str">
        <x:v>amber@hiddenhills.gov</x:v>
      </x:c>
      <x:c r="F42" t="str">
        <x:v>Public RFP page</x:v>
      </x:c>
      <x:c r="G42" t="str">
        <x:v>https://hiddenhills.gov/city-departments/city-clerk/notice-inviting-bids-proposals-rfps/</x:v>
      </x:c>
      <x:c r="H42" t="str">
        <x:v>Municipal website launch QA</x:v>
      </x:c>
      <x:c r="I42" t="str">
        <x:v>Open website redesign and development services RFP due May 15; scope includes redesign, development, hosting, training, ongoing maintenance, and public-agency CMS handoff</x:v>
      </x:c>
      <x:c r="J42" t="str">
        <x:v>Municipal accessibility/CMS migration QA support</x:v>
      </x:c>
      <x:c r="K42" t="str">
        <x:v>contacted_fixed_scope</x:v>
      </x:c>
      <x:c r="L42" t="str">
        <x:v>2026-05-09</x:v>
      </x:c>
      <x:c r="M42" t="str">
        <x:v>Watch for reply; only communicate through designated RFP contact; if positive, send one-page QA scope</x:v>
      </x:c>
      <x:c r="N42" t="str">
        <x:v>2026-05-13</x:v>
      </x:c>
      <x:c r="O42" t="str">
        <x:v>gmail:19e092e04acef122</x:v>
      </x:c>
      <x:c r="P42" t="str">
        <x:v>Sent USD 6500 launch QA support option; explicitly not bypassing RFP or replacing prime vendor</x:v>
      </x:c>
    </x:row>
    <x:row r="43">
      <x:c r="A43" t="str">
        <x:v>C10K-041</x:v>
      </x:c>
      <x:c r="B43" t="str">
        <x:v>2026-05-09</x:v>
      </x:c>
      <x:c r="C43" t="str">
        <x:v>Codex10k</x:v>
      </x:c>
      <x:c r="D43" t="str">
        <x:v>SCIDpda</x:v>
      </x:c>
      <x:c r="E43" t="str">
        <x:v>marione@scidpda.org</x:v>
      </x:c>
      <x:c r="F43" t="str">
        <x:v>Public RFQ page</x:v>
      </x:c>
      <x:c r="G43" t="str">
        <x:v>https://scidpda.org/website-redesign-and-development-for-scidpda-request-for-qualifications-rfq/</x:v>
      </x:c>
      <x:c r="H43" t="str">
        <x:v>Community nonprofit website launch QA</x:v>
      </x:c>
      <x:c r="I43" t="str">
        <x:v>RFQ due May 13 with October 2026 launch target; site needs donations, property listings, event calendar, RFQ/RFP postings, multilingual translation, accessibility, security, staff training, and governance materials</x:v>
      </x:c>
      <x:c r="J43" t="str">
        <x:v>Multilingual/accessibility/security launch QA support</x:v>
      </x:c>
      <x:c r="K43" t="str">
        <x:v>contacted_fixed_scope</x:v>
      </x:c>
      <x:c r="L43" t="str">
        <x:v>2026-05-09</x:v>
      </x:c>
      <x:c r="M43" t="str">
        <x:v>Watch for reply; if positive, send one-page beta QA/support scope or support selected vendor</x:v>
      </x:c>
      <x:c r="N43" t="str">
        <x:v>2026-05-12</x:v>
      </x:c>
      <x:c r="O43" t="str">
        <x:v>gmail:19e092e31c4c2514</x:v>
      </x:c>
      <x:c r="P43" t="str">
        <x:v>Sent USD 4000 bounded support option; not a late full redesign bid; no resident/donor/applicant/tenant data by email</x:v>
      </x:c>
    </x:row>
    <x:row r="44">
      <x:c r="A44" t="str">
        <x:v>C10K-042</x:v>
      </x:c>
      <x:c r="B44" t="str">
        <x:v>2026-05-09</x:v>
      </x:c>
      <x:c r="C44" t="str">
        <x:v>Codex10k</x:v>
      </x:c>
      <x:c r="D44" t="str">
        <x:v>ShelbyKY Tourism</x:v>
      </x:c>
      <x:c r="E44" t="str">
        <x:v>mason@visitshelbyky.com; ethan@visitshelbyky.com</x:v>
      </x:c>
      <x:c r="F44" t="str">
        <x:v>Public RFP page</x:v>
      </x:c>
      <x:c r="G44" t="str">
        <x:v>https://www.visitshelbyky.com/articles/post/request-for-proposals-website-design/</x:v>
      </x:c>
      <x:c r="H44" t="str">
        <x:v>Tourism website migration QA</x:v>
      </x:c>
      <x:c r="I44" t="str">
        <x:v>Open VisitShelbyKY.com redesign RFP due May 29; moving away from Simpleview/Granicus with Whereabouts CRM collaboration, accessibility, SEO/GEO, redirects, Datafy, WhatsGood, Flodesk, analytics preservation, and post-launch support</x:v>
      </x:c>
      <x:c r="J44" t="str">
        <x:v>Tourism website QA/accessibility support package</x:v>
      </x:c>
      <x:c r="K44" t="str">
        <x:v>contacted_fixed_scope</x:v>
      </x:c>
      <x:c r="L44" t="str">
        <x:v>2026-05-09</x:v>
      </x:c>
      <x:c r="M44" t="str">
        <x:v>Watch for reply; if positive, send one-page support-subcontract scope and acceptance criteria</x:v>
      </x:c>
      <x:c r="N44" t="str">
        <x:v>2026-05-14</x:v>
      </x:c>
      <x:c r="O44" t="str">
        <x:v>gmail:19e092e54ededdf6</x:v>
      </x:c>
      <x:c r="P44" t="str">
        <x:v>Sent USD 7500 bounded QA/accessibility support option; not a prime website proposal</x:v>
      </x:c>
    </x:row>
    <x:row r="45">
      <x:c r="A45" t="str">
        <x:v>C10K-043</x:v>
      </x:c>
      <x:c r="B45" t="str">
        <x:v>2026-05-09</x:v>
      </x:c>
      <x:c r="C45" t="str">
        <x:v>Codex10k</x:v>
      </x:c>
      <x:c r="D45" t="str">
        <x:v>Bellingham Housing Authority</x:v>
      </x:c>
      <x:c r="E45" t="str">
        <x:v>procurement@bellinghamhousing.org; Chris.Longwell@BellinghamHousing.org</x:v>
      </x:c>
      <x:c r="F45" t="str">
        <x:v>Public RFP page</x:v>
      </x:c>
      <x:c r="G45" t="str">
        <x:v>https://bellinghamhousing.org/request-for-proposals-website-development-and-design-services/2026/04/20/</x:v>
      </x:c>
      <x:c r="H45" t="str">
        <x:v>Housing authority website launch QA</x:v>
      </x:c>
      <x:c r="I45" t="str">
        <x:v>Open RFP-BHA-2026-04-IT due May 27; scope includes modern accessible public site for applicants, residents, landlords, property directory, rebrand/logo, staff training, launch, and 12-month support</x:v>
      </x:c>
      <x:c r="J45" t="str">
        <x:v>Housing authority accessibility/property-directory launch QA support</x:v>
      </x:c>
      <x:c r="K45" t="str">
        <x:v>contacted_fixed_scope</x:v>
      </x:c>
      <x:c r="L45" t="str">
        <x:v>2026-05-09</x:v>
      </x:c>
      <x:c r="M45" t="str">
        <x:v>Watch for reply; if positive, send one-page QA scope for selected vendor or BHA acceptance testing</x:v>
      </x:c>
      <x:c r="N45" t="str">
        <x:v>2026-05-14</x:v>
      </x:c>
      <x:c r="O45" t="str">
        <x:v>gmail:19e092e797f754eb</x:v>
      </x:c>
      <x:c r="P45" t="str">
        <x:v>Sent USD 6500 bounded QA/accessibility support option; not a prime redesign proposal; no applicant/resident/landlord data by email</x:v>
      </x:c>
    </x:row>
    <x:row r="46">
      <x:c r="A46" t="str">
        <x:v>C10K-044</x:v>
      </x:c>
      <x:c r="B46" t="str">
        <x:v>2026-05-09</x:v>
      </x:c>
      <x:c r="C46" t="str">
        <x:v>Codex10k</x:v>
      </x:c>
      <x:c r="D46" t="str">
        <x:v>City of Willow Springs MO</x:v>
      </x:c>
      <x:c r="E46" t="str">
        <x:v>htooley@willowspringsmo.com; bhicks@willowspringsmo.com</x:v>
      </x:c>
      <x:c r="F46" t="str">
        <x:v>Public bid page</x:v>
      </x:c>
      <x:c r="G46" t="str">
        <x:v>https://www.willowspringsmo.com/bids.aspx?bidID=8</x:v>
      </x:c>
      <x:c r="H46" t="str">
        <x:v>Municipal CMS/forms/accessibility QA</x:v>
      </x:c>
      <x:c r="I46" t="str">
        <x:v>Open website redesign and content management services RFP due May 29; replacing CivicPlus with hosted CMS, forms, staff portal, agendas/minutes, document management, ADA/WCAG, future .gov transition, and staff editor guardrails</x:v>
      </x:c>
      <x:c r="J46" t="str">
        <x:v>CMS/forms/accessibility acceptance testing support</x:v>
      </x:c>
      <x:c r="K46" t="str">
        <x:v>identity_clarified_awaiting_review</x:v>
      </x:c>
      <x:c r="L46" t="str">
        <x:v>2026-05-09</x:v>
      </x:c>
      <x:c r="M46" t="str">
        <x:v>Wait for City review after bids are submitted; if they ask for more detail, send one-page USD 6800 QA/accessibility acceptance-testing scope</x:v>
      </x:c>
      <x:c r="N46" t="str">
        <x:v>2026-05-14</x:v>
      </x:c>
      <x:c r="O46" t="str">
        <x:v>gmail:19e092e9eef4b373; gmail:19e0970a8808eef1; gmail:19e0af09f34ad913</x:v>
      </x:c>
      <x:c r="P46" t="str">
        <x:v>Sent in-thread reply clarifying Nakul is an independent freelancer / sole proprietor, not a larger company; kept the fixed-scope support option bounded for the City or selected website vendor.</x:v>
      </x:c>
    </x:row>
    <x:row r="47">
      <x:c r="A47" t="str">
        <x:v>C10K-045</x:v>
      </x:c>
      <x:c r="B47" t="str">
        <x:v>2026-05-09</x:v>
      </x:c>
      <x:c r="C47" t="str">
        <x:v>Codex10k</x:v>
      </x:c>
      <x:c r="D47" t="str">
        <x:v>Yolo-Solano Air Quality Management District</x:v>
      </x:c>
      <x:c r="E47" t="str">
        <x:v>BJamros@ysaqmd.org</x:v>
      </x:c>
      <x:c r="F47" t="str">
        <x:v>Public RFP page</x:v>
      </x:c>
      <x:c r="G47" t="str">
        <x:v>https://www.ysaqmd.org/about-the-district/announcements/</x:v>
      </x:c>
      <x:c r="H47" t="str">
        <x:v>Air district website accessibility QA</x:v>
      </x:c>
      <x:c r="I47" t="str">
        <x:v>Open RFP for Website Redesign and Development Services with ADA Accessibility Compliance due June 1; scope includes content migration, staff training, accessibility documentation, testing, and deployment</x:v>
      </x:c>
      <x:c r="J47" t="str">
        <x:v>Accessibility and launch QA support option</x:v>
      </x:c>
      <x:c r="K47" t="str">
        <x:v>contacted_fixed_scope</x:v>
      </x:c>
      <x:c r="L47" t="str">
        <x:v>2026-05-09</x:v>
      </x:c>
      <x:c r="M47" t="str">
        <x:v>Watch for reply; if positive, send one-page acceptance checklist for YSAQMD or selected vendor</x:v>
      </x:c>
      <x:c r="N47" t="str">
        <x:v>2026-05-14</x:v>
      </x:c>
      <x:c r="O47" t="str">
        <x:v>gmail:19e092ebf47ff420</x:v>
      </x:c>
      <x:c r="P47" t="str">
        <x:v>Sent USD 6500 bounded QA/accessibility support option; not a prime redesign proposal</x:v>
      </x:c>
    </x:row>
    <x:row r="48">
      <x:c r="A48" t="str">
        <x:v>C10K-046</x:v>
      </x:c>
      <x:c r="B48" t="str">
        <x:v>2026-05-09</x:v>
      </x:c>
      <x:c r="C48" t="str">
        <x:v>Codex10k</x:v>
      </x:c>
      <x:c r="D48" t="str">
        <x:v>Visualfestation / Peter Adams</x:v>
      </x:c>
      <x:c r="E48" t="str">
        <x:v>visualfestation@gmail.com</x:v>
      </x:c>
      <x:c r="F48" t="str">
        <x:v>Make Community public post</x:v>
      </x:c>
      <x:c r="G48" t="str">
        <x:v>https://community.make.com/t/looking-to-hire-a-pro-for-integration/107978</x:v>
      </x:c>
      <x:c r="H48" t="str">
        <x:v>Make integration</x:v>
      </x:c>
      <x:c r="I48" t="str">
        <x:v>Public Hire a Pro post asked for help integrating Skool, Zendo, Airtable, Rewardful, and Stripe and listed direct email</x:v>
      </x:c>
      <x:c r="J48" t="str">
        <x:v>Payment/access/affiliate integration v1</x:v>
      </x:c>
      <x:c r="K48" t="str">
        <x:v>contacted_fixed_scope</x:v>
      </x:c>
      <x:c r="L48" t="str">
        <x:v>2026-05-10</x:v>
      </x:c>
      <x:c r="M48" t="str">
        <x:v>Watch for reply; if positive, request first flow to prioritize, app ownership, dummy/test records, and rules for refunds, failed payments, duplicates, and manual review</x:v>
      </x:c>
      <x:c r="N48" t="str">
        <x:v>2026-05-12</x:v>
      </x:c>
      <x:c r="O48" t="str">
        <x:v>gmail:19e0fc30bdc1e43f; visualfestation-integration.html; docs/outbox-next.md</x:v>
      </x:c>
      <x:c r="P48" t="str">
        <x:v>Sent USD 1200 fixed v1 offer with client-facing integration packet. No live payment credentials by email; use Stripe test mode, dummy records, and least-privilege access.</x:v>
      </x:c>
    </x:row>
    <x:row r="49">
      <x:c r="A49" t="str">
        <x:v>C10K-047</x:v>
      </x:c>
      <x:c r="B49" t="str">
        <x:v>2026-05-09</x:v>
      </x:c>
      <x:c r="C49" t="str">
        <x:v>Codex10k</x:v>
      </x:c>
      <x:c r="D49" t="str">
        <x:v>SoIN Tourism / Clark-Floyd Counties CVB</x:v>
      </x:c>
      <x:c r="E49" t="str">
        <x:v>Janelle@GoSoIN.com</x:v>
      </x:c>
      <x:c r="F49" t="str">
        <x:v>Public RFP page</x:v>
      </x:c>
      <x:c r="G49" t="str">
        <x:v>https://www.gosoin.com/request-for-proposals/</x:v>
      </x:c>
      <x:c r="H49" t="str">
        <x:v>Tourism CMS/CRM/partner portal launch QA</x:v>
      </x:c>
      <x:c r="I49" t="str">
        <x:v>Open RFP for website services, CMS, CRM system of record, and Partner Portal/Extranet; questions due June 1 and proposals due July 1 2026</x:v>
      </x:c>
      <x:c r="J49" t="str">
        <x:v>CMS/CRM/partner portal launch QA support</x:v>
      </x:c>
      <x:c r="K49" t="str">
        <x:v>contacted_fixed_scope</x:v>
      </x:c>
      <x:c r="L49" t="str">
        <x:v>2026-05-10</x:v>
      </x:c>
      <x:c r="M49" t="str">
        <x:v>Watch for reply; if positive, request staging/vendor-selection window and convert USD 8500 support slice into final one-page scope, acceptance criteria, and payment link/invoice</x:v>
      </x:c>
      <x:c r="N49" t="str">
        <x:v>2026-05-14</x:v>
      </x:c>
      <x:c r="O49" t="str">
        <x:v>gmail:19e0fd37e18291d8; outputs/codex10k/soin_launch_qa_support_proposal.pdf; docs/outbox-next.md</x:v>
      </x:c>
      <x:c r="P49" t="str">
        <x:v>Sent USD 8500 bounded launch-QA support option with verified PDF attachment. No individual pre-submission meeting request; no visitor, partner, or CRM production data by email.</x:v>
      </x:c>
    </x:row>
    <x:row r="50">
      <x:c r="A50" t="str">
        <x:v>C10K-048</x:v>
      </x:c>
      <x:c r="B50" t="str">
        <x:v>2026-05-09</x:v>
      </x:c>
      <x:c r="C50" t="str">
        <x:v>Codex10k</x:v>
      </x:c>
      <x:c r="D50" t="str">
        <x:v>Lindsey Moore / Make.com specialist search</x:v>
      </x:c>
      <x:c r="E50"/>
      <x:c r="F50" t="str">
        <x:v>Make Community public post</x:v>
      </x:c>
      <x:c r="G50" t="str">
        <x:v>https://community.make.com/t/make-com-automation-specialist-ongoing-or-project-based/107052</x:v>
      </x:c>
      <x:c r="H50" t="str">
        <x:v>AI workflow automation / internal ops</x:v>
      </x:c>
      <x:c r="I50" t="str">
        <x:v>Public Hire Help post from April 7, 2026 asks for an experienced Make specialist to build and maintain automations across Slack, ClickUp, Google Workspace, and Claude with monitoring, error alerts, and documentation</x:v>
      </x:c>
      <x:c r="J50" t="str">
        <x:v>Reliability-first Make build and maintenance sprint</x:v>
      </x:c>
      <x:c r="K50" t="str">
        <x:v>monitor_only_qualified</x:v>
      </x:c>
      <x:c r="L50" t="str">
        <x:v>2026-05-09</x:v>
      </x:c>
      <x:c r="M50" t="str">
        <x:v>Manual follow-up only if this thread is still open; lead with one production-grade Make workflow plus monitoring/alerting sample</x:v>
      </x:c>
      <x:c r="N50" t="str">
        <x:v>2026-05-12</x:v>
      </x:c>
      <x:c r="O50" t="str">
        <x:v>docs/opportunity-log.md</x:v>
      </x:c>
      <x:c r="P50" t="str">
        <x:v>Project-based or ~10 hours/week; strong fit for AI workflow hardening but no outreach in monitor run</x:v>
      </x:c>
    </x:row>
    <x:row r="51">
      <x:c r="A51" t="str">
        <x:v>C10K-049</x:v>
      </x:c>
      <x:c r="B51" t="str">
        <x:v>2026-05-09</x:v>
      </x:c>
      <x:c r="C51" t="str">
        <x:v>Codex10k</x:v>
      </x:c>
      <x:c r="D51" t="str">
        <x:v>Charbel Sarkis / facilities maintenance company</x:v>
      </x:c>
      <x:c r="E51"/>
      <x:c r="F51" t="str">
        <x:v>Make Community public post</x:v>
      </x:c>
      <x:c r="G51" t="str">
        <x:v>https://community.make.com/t/expert-needed-google-workspace-facil-it-google-chat-work-order-intake-automation/102786</x:v>
      </x:c>
      <x:c r="H51" t="str">
        <x:v>Lead intake / work order ops</x:v>
      </x:c>
      <x:c r="I51" t="str">
        <x:v>U.S. facilities maintenance company says high-volume work orders arrive by email and portals and wants a Make MVP in ~30 days to parse Gmail work orders into FACIL-IT with Google Chat coordination</x:v>
      </x:c>
      <x:c r="J51" t="str">
        <x:v>Work-order intake and triage MVP</x:v>
      </x:c>
      <x:c r="K51" t="str">
        <x:v>monitor_only_qualified</x:v>
      </x:c>
      <x:c r="L51" t="str">
        <x:v>2026-05-09</x:v>
      </x:c>
      <x:c r="M51" t="str">
        <x:v>Manual follow-up only; angle should be bounded Gmail-to-system intake with idempotency, parsing confidence checks, and escalation path</x:v>
      </x:c>
      <x:c r="N51" t="str">
        <x:v>2026-05-11</x:v>
      </x:c>
      <x:c r="O51" t="str">
        <x:v>docs/opportunity-log.md</x:v>
      </x:c>
      <x:c r="P51" t="str">
        <x:v>Directly matches intake automation pain and has a concrete 30-day MVP</x:v>
      </x:c>
    </x:row>
    <x:row r="52">
      <x:c r="A52" t="str">
        <x:v>C10K-050</x:v>
      </x:c>
      <x:c r="B52" t="str">
        <x:v>2026-05-09</x:v>
      </x:c>
      <x:c r="C52" t="str">
        <x:v>Codex10k</x:v>
      </x:c>
      <x:c r="D52" t="str">
        <x:v>JR Pool Pros / Jose Rodriguez</x:v>
      </x:c>
      <x:c r="E52"/>
      <x:c r="F52" t="str">
        <x:v>Make Community public post</x:v>
      </x:c>
      <x:c r="G52" t="str">
        <x:v>https://community.make.com/t/automations-with-api-jobtread-voiceflow-and-airtable/104131</x:v>
      </x:c>
      <x:c r="H52" t="str">
        <x:v>Quote/workflow memory automation</x:v>
      </x:c>
      <x:c r="I52" t="str">
        <x:v>Owner describes 40 active pool jobs, a working Voiceflow assistant, and a documented need for Make scenarios connecting JobTread API and Airtable memory so the assistant can answer job-state questions and later take actions</x:v>
      </x:c>
      <x:c r="J52" t="str">
        <x:v>Voiceflow-JobTread-Airtable phase-1 build</x:v>
      </x:c>
      <x:c r="K52" t="str">
        <x:v>monitor_only_qualified</x:v>
      </x:c>
      <x:c r="L52" t="str">
        <x:v>2026-05-09</x:v>
      </x:c>
      <x:c r="M52" t="str">
        <x:v>Manual follow-up only; lead with read-only JobTread sync plus Airtable memory before write actions</x:v>
      </x:c>
      <x:c r="N52" t="str">
        <x:v>2026-05-11</x:v>
      </x:c>
      <x:c r="O52" t="str">
        <x:v>docs/opportunity-log.md</x:v>
      </x:c>
      <x:c r="P52" t="str">
        <x:v>Clear buyer pain, detailed scope, and natural fixed-scope first milestone</x:v>
      </x:c>
    </x:row>
    <x:row r="53">
      <x:c r="A53" t="str">
        <x:v>C10K-051</x:v>
      </x:c>
      <x:c r="B53" t="str">
        <x:v>2026-05-09</x:v>
      </x:c>
      <x:c r="C53" t="str">
        <x:v>Codex10k</x:v>
      </x:c>
      <x:c r="D53" t="str">
        <x:v>Cafe Manager / Toast POS reporting fix</x:v>
      </x:c>
      <x:c r="E53"/>
      <x:c r="F53" t="str">
        <x:v>Make Community public post</x:v>
      </x:c>
      <x:c r="G53" t="str">
        <x:v>https://community.make.com/t/toast-pos-make-google-sheets-help/108218</x:v>
      </x:c>
      <x:c r="H53" t="str">
        <x:v>Dashboard/reporting cleanup</x:v>
      </x:c>
      <x:c r="I53" t="str">
        <x:v>Restaurant operator says Toast API data already lands in Make and Google Sheets but totals do not match Toast Sales Summary because aggregation lives in Sheets and duplicate or partial runs corrupt reporting</x:v>
      </x:c>
      <x:c r="J53" t="str">
        <x:v>Idempotent POS reporting reconciliation sprint</x:v>
      </x:c>
      <x:c r="K53" t="str">
        <x:v>monitor_only_qualified</x:v>
      </x:c>
      <x:c r="L53" t="str">
        <x:v>2026-05-09</x:v>
      </x:c>
      <x:c r="M53" t="str">
        <x:v>Manual follow-up only; lead with moving aggregation and dedupe into Make and defining a reconciled summary table</x:v>
      </x:c>
      <x:c r="N53" t="str">
        <x:v>2026-05-10</x:v>
      </x:c>
      <x:c r="O53" t="str">
        <x:v>docs/opportunity-log.md</x:v>
      </x:c>
      <x:c r="P53" t="str">
        <x:v>Strong short-cycle debug-and-finish opportunity with exact acceptance criterion: totals must match Toast daily summary</x:v>
      </x:c>
    </x:row>
    <x:row r="54">
      <x:c r="A54" t="str">
        <x:v>C10K-052</x:v>
      </x:c>
      <x:c r="B54" t="str">
        <x:v>2026-05-09</x:v>
      </x:c>
      <x:c r="C54" t="str">
        <x:v>Codex10k</x:v>
      </x:c>
      <x:c r="D54" t="str">
        <x:v>StartAI</x:v>
      </x:c>
      <x:c r="E54"/>
      <x:c r="F54" t="str">
        <x:v>Wellfound public listing</x:v>
      </x:c>
      <x:c r="G54" t="str">
        <x:v>https://wellfound.com/jobs/3533470-airtable-specialist-automations-configuration</x:v>
      </x:c>
      <x:c r="H54" t="str">
        <x:v>Airtable CRM/dashboard automation</x:v>
      </x:c>
      <x:c r="I54" t="str">
        <x:v>Wellfound listing posted May 8, 2026 describes a freelance or part-time Airtable specialist role for building bases, automations, dashboards, and integrations with Slack, Google Workspace, Stripe, and CRMs for digital businesses and agencies</x:v>
      </x:c>
      <x:c r="J54" t="str">
        <x:v>Airtable automation and CRM systems sprint</x:v>
      </x:c>
      <x:c r="K54" t="str">
        <x:v>monitor_only_qualified</x:v>
      </x:c>
      <x:c r="L54" t="str">
        <x:v>2026-05-09</x:v>
      </x:c>
      <x:c r="M54" t="str">
        <x:v>Manual follow-up only; if pursued, frame as project-based Airtable cleanup plus automation package rather than open-ended staffing</x:v>
      </x:c>
      <x:c r="N54" t="str">
        <x:v>2026-05-12</x:v>
      </x:c>
      <x:c r="O54" t="str">
        <x:v>docs/opportunity-log.md</x:v>
      </x:c>
      <x:c r="P54" t="str">
        <x:v>Fresh listing with recruiter active and project-based option explicitly allowed</x:v>
      </x:c>
    </x:row>
    <x:row r="55">
      <x:c r="A55" t="str">
        <x:v>C10K-053</x:v>
      </x:c>
      <x:c r="B55" t="str">
        <x:v>2026-05-09</x:v>
      </x:c>
      <x:c r="C55" t="str">
        <x:v>Codex10k</x:v>
      </x:c>
      <x:c r="D55" t="str">
        <x:v>MVM Management Company</x:v>
      </x:c>
      <x:c r="E55"/>
      <x:c r="F55" t="str">
        <x:v>Wellfound public listing</x:v>
      </x:c>
      <x:c r="G55" t="str">
        <x:v>https://wellfound.com/jobs/3844627-airtable-architect-automation-specialist</x:v>
      </x:c>
      <x:c r="H55" t="str">
        <x:v>Internal tools / Airtable stabilization</x:v>
      </x:c>
      <x:c r="I55" t="str">
        <x:v>Wellfound listing posted May 8, 2026 describes a contract part-time Airtable Architect &amp; Automation Specialist to design, stabilize, and automate internal operational systems across multiple teams with Airtable, Zapier, and Make</x:v>
      </x:c>
      <x:c r="J55" t="str">
        <x:v>Airtable stabilization and internal-ops refactor sprint</x:v>
      </x:c>
      <x:c r="K55" t="str">
        <x:v>monitor_only_qualified</x:v>
      </x:c>
      <x:c r="L55" t="str">
        <x:v>2026-05-09</x:v>
      </x:c>
      <x:c r="M55" t="str">
        <x:v>Manual follow-up only; best angle is audit-plus-refactor for existing Airtable systems with reliability and role-based views</x:v>
      </x:c>
      <x:c r="N55" t="str">
        <x:v>2026-05-12</x:v>
      </x:c>
      <x:c r="O55" t="str">
        <x:v>docs/opportunity-log.md</x:v>
      </x:c>
      <x:c r="P55" t="str">
        <x:v>Higher-quality contract signal than generic hiring posts because the pain is existing-system stability and error reduction</x:v>
      </x:c>
    </x:row>
    <x:row r="56">
      <x:c r="A56" t="str">
        <x:v>C10K-054</x:v>
      </x:c>
      <x:c r="B56" t="str">
        <x:v>2026-05-09</x:v>
      </x:c>
      <x:c r="C56" t="str">
        <x:v>Codex10k</x:v>
      </x:c>
      <x:c r="D56" t="str">
        <x:v>Archestra</x:v>
      </x:c>
      <x:c r="E56"/>
      <x:c r="F56" t="str">
        <x:v>Algora public bounty page</x:v>
      </x:c>
      <x:c r="G56" t="str">
        <x:v>https://algora.io/archestra-ai</x:v>
      </x:c>
      <x:c r="H56" t="str">
        <x:v>AI workflow infrastructure bounty</x:v>
      </x:c>
      <x:c r="I56" t="str">
        <x:v>Algora shows open bounties as of this run including a USD 1500 Unified OpenAI-format LLM proxy endpoint and smaller queue, budgeting, and MCP admin tasks for an enterprise MCP gateway and orchestrator</x:v>
      </x:c>
      <x:c r="J56" t="str">
        <x:v>Targeted bounty implementation</x:v>
      </x:c>
      <x:c r="K56" t="str">
        <x:v>monitor_only_qualified</x:v>
      </x:c>
      <x:c r="L56" t="str">
        <x:v>2026-05-09</x:v>
      </x:c>
      <x:c r="M56" t="str">
        <x:v>Review issue scope before any build commitment; prioritize the USD 1500 proxy endpoint only if the spec is narrow enough for a bounded delivery</x:v>
      </x:c>
      <x:c r="N56" t="str">
        <x:v>2026-05-13</x:v>
      </x:c>
      <x:c r="O56" t="str">
        <x:v>docs/opportunity-log.md</x:v>
      </x:c>
      <x:c r="P56" t="str">
        <x:v>Not buyer outreach; included because it is a live public bounty source directly relevant to AI workflow infrastructure</x:v>
      </x:c>
    </x:row>
    <x:row r="57">
      <x:c r="A57" t="str">
        <x:v>C10K-055</x:v>
      </x:c>
      <x:c r="B57" t="str">
        <x:v>2026-05-09</x:v>
      </x:c>
      <x:c r="C57" t="str">
        <x:v>Codex10k</x:v>
      </x:c>
      <x:c r="D57" t="str">
        <x:v>Claire Manwaring / caregiver SMS app</x:v>
      </x:c>
      <x:c r="E57"/>
      <x:c r="F57" t="str">
        <x:v>Make Community public post</x:v>
      </x:c>
      <x:c r="G57" t="str">
        <x:v>https://community.make.com/t/looking-for-short-term-help-with-make-bubble-supabase-claude-twilio/108581</x:v>
      </x:c>
      <x:c r="H57" t="str">
        <x:v>AI workflow automation / lead-intake-style messaging</x:v>
      </x:c>
      <x:c r="I57" t="str">
        <x:v>Make Community post from May 7, 2026 seeks a short-term freelancer for a mid-May build using Bubble, Supabase, Make, Twilio, Claude, Slack review, and analytics to run stateful SMS caregiver flows</x:v>
      </x:c>
      <x:c r="J57" t="str">
        <x:v>Stateful SMS and HITL workflow sprint</x:v>
      </x:c>
      <x:c r="K57" t="str">
        <x:v>monitor_only_qualified</x:v>
      </x:c>
      <x:c r="L57" t="str">
        <x:v>2026-05-09</x:v>
      </x:c>
      <x:c r="M57" t="str">
        <x:v>Manual follow-up only; lead with a bounded 3-4 week state machine plus human-review build, not open-ended staffing</x:v>
      </x:c>
      <x:c r="N57" t="str">
        <x:v>2026-05-10</x:v>
      </x:c>
      <x:c r="O57" t="str">
        <x:v>docs/opportunity-log.md</x:v>
      </x:c>
      <x:c r="P57" t="str">
        <x:v>Strong because it names the stack the buyer already chose and the build window is immediate</x:v>
      </x:c>
    </x:row>
    <x:row r="58">
      <x:c r="A58" t="str">
        <x:v>C10K-056</x:v>
      </x:c>
      <x:c r="B58" t="str">
        <x:v>2026-05-09</x:v>
      </x:c>
      <x:c r="C58" t="str">
        <x:v>Codex10k</x:v>
      </x:c>
      <x:c r="D58" t="str">
        <x:v>Nikolaos Zissidis / e-commerce brand</x:v>
      </x:c>
      <x:c r="E58"/>
      <x:c r="F58" t="str">
        <x:v>n8n Community public post</x:v>
      </x:c>
      <x:c r="G58" t="str">
        <x:v>https://community.n8n.io/t/hiring-n8n-automation-specialist-paid-long-term-remote-e-commerce-shopify/284836</x:v>
      </x:c>
      <x:c r="H58" t="str">
        <x:v>Content workflow automation</x:v>
      </x:c>
      <x:c r="I58" t="str">
        <x:v>n8n Community post from April 5, 2026 asks for a paid n8n workflow that turns competitor scripts into short-form videos using Google Drive, Claude API, and AI video tooling for 10+ social accounts</x:v>
      </x:c>
      <x:c r="J58" t="str">
        <x:v>AI video content pipeline v1</x:v>
      </x:c>
      <x:c r="K58" t="str">
        <x:v>monitor_only_qualified</x:v>
      </x:c>
      <x:c r="L58" t="str">
        <x:v>2026-05-09</x:v>
      </x:c>
      <x:c r="M58" t="str">
        <x:v>Manual follow-up only; best angle is a bounded content-pipeline v1 with approval checkpoints and export handoff</x:v>
      </x:c>
      <x:c r="N58" t="str">
        <x:v>2026-05-11</x:v>
      </x:c>
      <x:c r="O58" t="str">
        <x:v>docs/opportunity-log.md</x:v>
      </x:c>
      <x:c r="P58" t="str">
        <x:v>Project is concrete enough for a fixed-scope first release even though the thread mentions long-term potential</x:v>
      </x:c>
    </x:row>
    <x:row r="59">
      <x:c r="A59" t="str">
        <x:v>C10K-057</x:v>
      </x:c>
      <x:c r="B59" t="str">
        <x:v>2026-05-09</x:v>
      </x:c>
      <x:c r="C59" t="str">
        <x:v>Codex10k</x:v>
      </x:c>
      <x:c r="D59" t="str">
        <x:v>GeniusAISolutions</x:v>
      </x:c>
      <x:c r="E59"/>
      <x:c r="F59" t="str">
        <x:v>n8n Community public post</x:v>
      </x:c>
      <x:c r="G59" t="str">
        <x:v>https://community.n8n.io/t/looking-for-n8n-expert-for-paid-debugging-session-whatsapp-airtable-openai-workflow/276670</x:v>
      </x:c>
      <x:c r="H59" t="str">
        <x:v>CRM / messaging workflow debugging</x:v>
      </x:c>
      <x:c r="I59" t="str">
        <x:v>n8n Community post from March 13, 2026 asks for a paid 1-2 hour debugging session on a WhatsApp Cloud API, Airtable state machine, OpenAI, and Telegram handoff workflow with bugs in state logic and escalation</x:v>
      </x:c>
      <x:c r="J59" t="str">
        <x:v>Paid workflow audit and fix plan</x:v>
      </x:c>
      <x:c r="K59" t="str">
        <x:v>monitor_only_qualified</x:v>
      </x:c>
      <x:c r="L59" t="str">
        <x:v>2026-05-09</x:v>
      </x:c>
      <x:c r="M59" t="str">
        <x:v>Manual follow-up only; angle should be a paid race-condition and handoff-state audit with a short remediation plan</x:v>
      </x:c>
      <x:c r="N59" t="str">
        <x:v>2026-05-10</x:v>
      </x:c>
      <x:c r="O59" t="str">
        <x:v>docs/opportunity-log.md</x:v>
      </x:c>
      <x:c r="P59" t="str">
        <x:v>Very small entry offer and explicit budget openness make this a clean consult-sized opportunity</x:v>
      </x:c>
    </x:row>
    <x:row r="60">
      <x:c r="A60" t="str">
        <x:v>C10K-058</x:v>
      </x:c>
      <x:c r="B60" t="str">
        <x:v>2026-05-09</x:v>
      </x:c>
      <x:c r="C60" t="str">
        <x:v>Codex10k</x:v>
      </x:c>
      <x:c r="D60" t="str">
        <x:v>Christian Tekwe / ProductBuilder SaaS</x:v>
      </x:c>
      <x:c r="E60"/>
      <x:c r="F60" t="str">
        <x:v>Make Community public post</x:v>
      </x:c>
      <x:c r="G60" t="str">
        <x:v>https://community.make.com/t/hiring-make-com-specialist-for-multi-client-content-automation-saas-ai-apis-airtable-publishing-workflows/103804</x:v>
      </x:c>
      <x:c r="H60" t="str">
        <x:v>AI publishing workflow automation</x:v>
      </x:c>
      <x:c r="I60" t="str">
        <x:v>Make Community post from February 18, 2026 describes a 3-module pipeline using Claude API, Airtable, and automated publishing for 20+ creator clients in a health and wellness content SaaS</x:v>
      </x:c>
      <x:c r="J60" t="str">
        <x:v>Research-and-scoring module sprint</x:v>
      </x:c>
      <x:c r="K60" t="str">
        <x:v>monitor_only_qualified</x:v>
      </x:c>
      <x:c r="L60" t="str">
        <x:v>2026-05-09</x:v>
      </x:c>
      <x:c r="M60" t="str">
        <x:v>Manual follow-up only; propose module 1 research-and-scoring first, then expand if reliability is proven</x:v>
      </x:c>
      <x:c r="N60" t="str">
        <x:v>2026-05-11</x:v>
      </x:c>
      <x:c r="O60" t="str">
        <x:v>docs/opportunity-log.md</x:v>
      </x:c>
      <x:c r="P60" t="str">
        <x:v>Good fit because the buyer already decomposed the system into modules and multi-client parameterization is explicit</x:v>
      </x:c>
    </x:row>
    <x:row r="61">
      <x:c r="A61" t="str">
        <x:v>C10K-059</x:v>
      </x:c>
      <x:c r="B61" t="str">
        <x:v>2026-05-09</x:v>
      </x:c>
      <x:c r="C61" t="str">
        <x:v>Codex10k</x:v>
      </x:c>
      <x:c r="D61" t="str">
        <x:v>Synergy Effect / Tomas Maciulskas</x:v>
      </x:c>
      <x:c r="E61" t="str">
        <x:v>info@s-e.lt</x:v>
      </x:c>
      <x:c r="F61" t="str">
        <x:v>n8n Community public post</x:v>
      </x:c>
      <x:c r="G61" t="str">
        <x:v>https://community.n8n.io/t/hiring-ai-automation-engineer-n8n-ai-agent-developer/294904</x:v>
      </x:c>
      <x:c r="H61" t="str">
        <x:v>AI automation / n8n project delivery</x:v>
      </x:c>
      <x:c r="I61" t="str">
        <x:v>Fresh May 7 2026 post asks for project-based freelance/contractor cooperation building production-ready n8n, AI agent, RPA, OCR, CRM/ERP, finance/logistics/customer-support and HITL automations</x:v>
      </x:c>
      <x:c r="J61" t="str">
        <x:v>Project-based AI automation delivery packet</x:v>
      </x:c>
      <x:c r="K61" t="str">
        <x:v>contacted_fixed_scope</x:v>
      </x:c>
      <x:c r="L61" t="str">
        <x:v>2026-05-10</x:v>
      </x:c>
      <x:c r="M61" t="str">
        <x:v>Watch for reply; if positive, request one real process, systems involved, target output, sample records, and quote a USD 1800-4500 fixed milestone</x:v>
      </x:c>
      <x:c r="N61" t="str">
        <x:v>2026-05-12</x:v>
      </x:c>
      <x:c r="O61" t="str">
        <x:v>gmail:19e0fb48b5c32d18; synergy-effect-ai-automation.html; docs/synergy-effect-ai-automation-proposal.md; scripts/check-email-cadence.mjs</x:v>
      </x:c>
      <x:c r="P61" t="str">
        <x:v>Sent fixed-scope project-delivery response to info@s-e.lt after May 10 cadence gate allowed; positioned as project-based independent freelancer, not employee role, with public technical packet and sample workflow links.</x:v>
      </x:c>
    </x:row>
    <x:row r="62">
      <x:c r="A62" t="str">
        <x:v>C10K-060</x:v>
      </x:c>
      <x:c r="B62" t="str">
        <x:v>2026-05-10</x:v>
      </x:c>
      <x:c r="C62" t="str">
        <x:v>Codex10k</x:v>
      </x:c>
      <x:c r="D62" t="str">
        <x:v>JEnterprises / medical consulting practice</x:v>
      </x:c>
      <x:c r="E62"/>
      <x:c r="F62" t="str">
        <x:v>n8n Community public post</x:v>
      </x:c>
      <x:c r="G62" t="str">
        <x:v>https://community.n8n.io/t/hiring-long-term-n8n-postgres-build-for-a-50-state-medical-consulting-practice-multi-tenant-self-hosted-runs-for-years/294834</x:v>
      </x:c>
      <x:c r="H62" t="str">
        <x:v>Internal tools / workflow consolidation</x:v>
      </x:c>
      <x:c r="I62" t="str">
        <x:v>May 7, 2026 n8n Community post seeks a long-term self-hosted n8n plus Postgres build to replace fragmented Notion trackers, Google Sheets, Zapier flows, and one-off scripts for a 50-state medical consulting practice</x:v>
      </x:c>
      <x:c r="J62" t="str">
        <x:v>Foundation sprint for multi-tenant ops platform</x:v>
      </x:c>
      <x:c r="K62" t="str">
        <x:v>monitor_only_qualified</x:v>
      </x:c>
      <x:c r="L62" t="str">
        <x:v>2026-05-10</x:v>
      </x:c>
      <x:c r="M62" t="str">
        <x:v>Manual follow-up only; propose a scoped foundation sprint for intake, state model, and auditable workflow orchestration before full platform build</x:v>
      </x:c>
      <x:c r="N62" t="str">
        <x:v>2026-05-13</x:v>
      </x:c>
      <x:c r="O62" t="str">
        <x:v>docs/opportunity-log.md</x:v>
      </x:c>
      <x:c r="P62" t="str">
        <x:v>Strongest buyer pain is replacing fragmented systems of record with one durable workflow platform</x:v>
      </x:c>
    </x:row>
    <x:row r="63">
      <x:c r="A63" t="str">
        <x:v>C10K-061</x:v>
      </x:c>
      <x:c r="B63" t="str">
        <x:v>2026-05-10</x:v>
      </x:c>
      <x:c r="C63" t="str">
        <x:v>Codex10k</x:v>
      </x:c>
      <x:c r="D63" t="str">
        <x:v>Ignatius / small professional collective</x:v>
      </x:c>
      <x:c r="E63"/>
      <x:c r="F63" t="str">
        <x:v>n8n Community public post</x:v>
      </x:c>
      <x:c r="G63" t="str">
        <x:v>https://community.n8n.io/t/hiring-n8n-specialist-postgresql-email-automation-project/294131</x:v>
      </x:c>
      <x:c r="H63" t="str">
        <x:v>Reporting / statement automation</x:v>
      </x:c>
      <x:c r="I63" t="str">
        <x:v>May 4, 2026 n8n Community post asks for two weekly workflows plus month-end variants that query PostgreSQL, group records, and send formatted email statements through Azure Communication Services</x:v>
      </x:c>
      <x:c r="J63" t="str">
        <x:v>Postgres-to-email statement automation sprint</x:v>
      </x:c>
      <x:c r="K63" t="str">
        <x:v>monitor_only_qualified</x:v>
      </x:c>
      <x:c r="L63" t="str">
        <x:v>2026-05-10</x:v>
      </x:c>
      <x:c r="M63" t="str">
        <x:v>Manual follow-up only; treat as a 5-9 hour bounded build with test fixtures and explicit acceptance emails</x:v>
      </x:c>
      <x:c r="N63" t="str">
        <x:v>2026-05-12</x:v>
      </x:c>
      <x:c r="O63" t="str">
        <x:v>docs/opportunity-log.md</x:v>
      </x:c>
      <x:c r="P63" t="str">
        <x:v>Small but clean fixed-scope implementation with an existing data pipeline already in place</x:v>
      </x:c>
    </x:row>
    <x:row r="64">
      <x:c r="A64" t="str">
        <x:v>C10K-062</x:v>
      </x:c>
      <x:c r="B64" t="str">
        <x:v>2026-05-10</x:v>
      </x:c>
      <x:c r="C64" t="str">
        <x:v>Codex10k</x:v>
      </x:c>
      <x:c r="D64" t="str">
        <x:v>Darius888 / digital marketing agency</x:v>
      </x:c>
      <x:c r="E64"/>
      <x:c r="F64" t="str">
        <x:v>n8n Community public post</x:v>
      </x:c>
      <x:c r="G64" t="str">
        <x:v>https://community.n8n.io/t/hiring-n8n-specialist-for-automated-b2b-lead-generation-systems-ongoing-work/277583</x:v>
      </x:c>
      <x:c r="H64" t="str">
        <x:v>Lead generation / CRM enrichment</x:v>
      </x:c>
      <x:c r="I64" t="str">
        <x:v>March 16, 2026 n8n Community post seeks ongoing n8n work for two B2B lead-gen systems that find companies, enrich decision-makers, AI-score fit, and output daily into Google Sheets or Airtable</x:v>
      </x:c>
      <x:c r="J64" t="str">
        <x:v>Lead-gen proof-of-concept pipeline</x:v>
      </x:c>
      <x:c r="K64" t="str">
        <x:v>packet_prepared_for_forum_dm</x:v>
      </x:c>
      <x:c r="L64" t="str">
        <x:v>2026-05-10</x:v>
      </x:c>
      <x:c r="M64" t="str">
        <x:v>Use forum DM/reply only if platform access is available; do not email third-party responder addresses; if positive, request approved source, ICP, allowed enrichment fields, and output schema</x:v>
      </x:c>
      <x:c r="N64" t="str">
        <x:v>2026-05-13</x:v>
      </x:c>
      <x:c r="O64" t="str">
        <x:v>docs/opportunity-log.md; darius-leadgen-poc.html</x:v>
      </x:c>
      <x:c r="P64" t="str">
        <x:v>Prepared compliance-bounded source-to-review POC page; public email in thread belonged to another respondent, not the buyer</x:v>
      </x:c>
    </x:row>
    <x:row r="65">
      <x:c r="A65" t="str">
        <x:v>C10K-063</x:v>
      </x:c>
      <x:c r="B65" t="str">
        <x:v>2026-05-10</x:v>
      </x:c>
      <x:c r="C65" t="str">
        <x:v>Codex10k</x:v>
      </x:c>
      <x:c r="D65" t="str">
        <x:v>1_Hunnid / UK music agency setup</x:v>
      </x:c>
      <x:c r="E65"/>
      <x:c r="F65" t="str">
        <x:v>Make Community public post</x:v>
      </x:c>
      <x:c r="G65" t="str">
        <x:v>https://community.make.com/t/need-someone-to-build-an-ai-automation-workflow-just-starting-out-willing-to-pay-flat-fee/105487</x:v>
      </x:c>
      <x:c r="H65" t="str">
        <x:v>Lead intake / payment-gated workflow</x:v>
      </x:c>
      <x:c r="I65" t="str">
        <x:v>March 13, 2026 Make Community Hire Help post asks for a flat-fee Tally plus Airtable plus n8n lead-capture pipeline with two manual approvals and a payment-status toggle that pauses workflows</x:v>
      </x:c>
      <x:c r="J65" t="str">
        <x:v>Lead capture and approval workflow package</x:v>
      </x:c>
      <x:c r="K65" t="str">
        <x:v>monitor_only_qualified</x:v>
      </x:c>
      <x:c r="L65" t="str">
        <x:v>2026-05-10</x:v>
      </x:c>
      <x:c r="M65" t="str">
        <x:v>Manual follow-up only; lead with a bounded intake-and-approval workflow package using Airtable as the control plane</x:v>
      </x:c>
      <x:c r="N65" t="str">
        <x:v>2026-05-12</x:v>
      </x:c>
      <x:c r="O65" t="str">
        <x:v>docs/opportunity-log.md</x:v>
      </x:c>
      <x:c r="P65" t="str">
        <x:v>Good fit for a compact fixed-scope build with explicit human approval checkpoints</x:v>
      </x:c>
    </x:row>
    <x:row r="66">
      <x:c r="A66" t="str">
        <x:v>C10K-064</x:v>
      </x:c>
      <x:c r="B66" t="str">
        <x:v>2026-05-10</x:v>
      </x:c>
      <x:c r="C66" t="str">
        <x:v>Codex10k</x:v>
      </x:c>
      <x:c r="D66" t="str">
        <x:v>Deep Ops Fitness</x:v>
      </x:c>
      <x:c r="E66"/>
      <x:c r="F66" t="str">
        <x:v>Wellfound public listing</x:v>
      </x:c>
      <x:c r="G66" t="str">
        <x:v>https://wellfound.com/jobs/3366414-backend-python-engineer-ai-agents-crm-automation</x:v>
      </x:c>
      <x:c r="H66" t="str">
        <x:v>CRM / lead intake automation</x:v>
      </x:c>
      <x:c r="I66" t="str">
        <x:v>Current Wellfound contract listing describes an AI-powered CRM for fitness coaches that should auto-reply to Instagram leads, qualify them, book calls with Calendly, take Stripe payments, and send reminders</x:v>
      </x:c>
      <x:c r="J66" t="str">
        <x:v>Lead qualification and booking automation milestone</x:v>
      </x:c>
      <x:c r="K66" t="str">
        <x:v>monitor_only_qualified</x:v>
      </x:c>
      <x:c r="L66" t="str">
        <x:v>2026-05-10</x:v>
      </x:c>
      <x:c r="M66" t="str">
        <x:v>Manual follow-up only; frame as a CRM-automation milestone around lead qualification, booking, and payment handoff rather than a broad platform role</x:v>
      </x:c>
      <x:c r="N66" t="str">
        <x:v>2026-05-14</x:v>
      </x:c>
      <x:c r="O66" t="str">
        <x:v>docs/opportunity-log.md</x:v>
      </x:c>
      <x:c r="P66" t="str">
        <x:v>Contract-shaped startup listing with explicit buyer pain around intake-to-payment workflow automation</x:v>
      </x:c>
    </x:row>
    <x:row r="67">
      <x:c r="A67" t="str">
        <x:v>C10K-065</x:v>
      </x:c>
      <x:c r="B67" t="str">
        <x:v>2026-05-10</x:v>
      </x:c>
      <x:c r="C67" t="str">
        <x:v>Codex10k</x:v>
      </x:c>
      <x:c r="D67" t="str">
        <x:v>SynMax</x:v>
      </x:c>
      <x:c r="E67"/>
      <x:c r="F67" t="str">
        <x:v>Wellfound public listing</x:v>
      </x:c>
      <x:c r="G67" t="str">
        <x:v>https://wellfound.com/jobs/3851968-hubspot-crm-administrator-4-month-contract-remote-contract</x:v>
      </x:c>
      <x:c r="H67" t="str">
        <x:v>CRM cleanup / workflow governance</x:v>
      </x:c>
      <x:c r="I67" t="str">
        <x:v>Current Wellfound 4-month contract listing seeks a technical HubSpot administrator to clean unused assets, optimize CRM structure, and rebuild workflows and pipelines for better data quality</x:v>
      </x:c>
      <x:c r="J67" t="str">
        <x:v>HubSpot cleanup and automation-hardening sprint</x:v>
      </x:c>
      <x:c r="K67" t="str">
        <x:v>monitor_only_qualified</x:v>
      </x:c>
      <x:c r="L67" t="str">
        <x:v>2026-05-10</x:v>
      </x:c>
      <x:c r="M67" t="str">
        <x:v>Manual follow-up only; best angle is a CRM cleanup sprint with measurable before-after hygiene and workflow governance</x:v>
      </x:c>
      <x:c r="N67" t="str">
        <x:v>2026-05-14</x:v>
      </x:c>
      <x:c r="O67" t="str">
        <x:v>docs/opportunity-log.md</x:v>
      </x:c>
      <x:c r="P67" t="str">
        <x:v>Clear data-cleanup and pipeline-governance pain rather than a generic admin role</x:v>
      </x:c>
    </x:row>
    <x:row r="68">
      <x:c r="A68" t="str">
        <x:v>C10K-066</x:v>
      </x:c>
      <x:c r="B68" t="str">
        <x:v>2026-05-10</x:v>
      </x:c>
      <x:c r="C68" t="str">
        <x:v>Codex10k</x:v>
      </x:c>
      <x:c r="D68" t="str">
        <x:v>Upwork client / AI Automation Specialist (Airtable)</x:v>
      </x:c>
      <x:c r="E68"/>
      <x:c r="F68" t="str">
        <x:v>Upwork public listing</x:v>
      </x:c>
      <x:c r="G68" t="str">
        <x:v>https://www.upwork.com/freelance-jobs/apply/Automation-Specialist-Airtable_~022002036270148181770/</x:v>
      </x:c>
      <x:c r="H68" t="str">
        <x:v>Airtable automation / reporting</x:v>
      </x:c>
      <x:c r="I68" t="str">
        <x:v>Public Upwork-style listing surfaced on May 10, 2026 says the client wants Airtable plus AI workflows across data, leads, content, reporting, and integrations with OpenAI, Zapier, Make, and n8n</x:v>
      </x:c>
      <x:c r="J68" t="str">
        <x:v>Airtable systems package</x:v>
      </x:c>
      <x:c r="K68" t="str">
        <x:v>monitor_only_qualified</x:v>
      </x:c>
      <x:c r="L68" t="str">
        <x:v>2026-05-10</x:v>
      </x:c>
      <x:c r="M68" t="str">
        <x:v>Manual follow-up only; treat as a bounded Airtable systems package, not open-ended staff augmentation</x:v>
      </x:c>
      <x:c r="N68" t="str">
        <x:v>2026-05-13</x:v>
      </x:c>
      <x:c r="O68" t="str">
        <x:v>docs/opportunity-log.md</x:v>
      </x:c>
      <x:c r="P68" t="str">
        <x:v>Very current public buyer-intent listing with direct overlap in Airtable plus AI workflow scope</x:v>
      </x:c>
    </x:row>
    <x:row r="69">
      <x:c r="A69" t="str">
        <x:v>C10K-067</x:v>
      </x:c>
      <x:c r="B69" t="str">
        <x:v>2026-05-10</x:v>
      </x:c>
      <x:c r="C69" t="str">
        <x:v>Codex10k</x:v>
      </x:c>
      <x:c r="D69" t="str">
        <x:v>Upwork client / Airtable-Salesforce CRM integration</x:v>
      </x:c>
      <x:c r="E69"/>
      <x:c r="F69" t="str">
        <x:v>Upwork public listing</x:v>
      </x:c>
      <x:c r="G69" t="str">
        <x:v>https://www.upwork.com/freelance-jobs/apply/CRM-Integration-Automation-Airtable-Salesforce_~021988661581788257692/</x:v>
      </x:c>
      <x:c r="H69" t="str">
        <x:v>CRM integration / data sync</x:v>
      </x:c>
      <x:c r="I69" t="str">
        <x:v>Public Upwork-style listing surfaced on May 10, 2026 seeks a freelancer to automate synchronization and troubleshooting between an Airtable CRM and Salesforce system</x:v>
      </x:c>
      <x:c r="J69" t="str">
        <x:v>Airtable-Salesforce sync sprint</x:v>
      </x:c>
      <x:c r="K69" t="str">
        <x:v>monitor_only_qualified</x:v>
      </x:c>
      <x:c r="L69" t="str">
        <x:v>2026-05-10</x:v>
      </x:c>
      <x:c r="M69" t="str">
        <x:v>Manual follow-up only; pursue only as a dedupe and upsert integration sprint with a narrow reconciliation spec</x:v>
      </x:c>
      <x:c r="N69" t="str">
        <x:v>2026-05-13</x:v>
      </x:c>
      <x:c r="O69" t="str">
        <x:v>docs/opportunity-log.md</x:v>
      </x:c>
      <x:c r="P69" t="str">
        <x:v>Strong match for CRM cleanup plus integration reliability work</x:v>
      </x:c>
    </x:row>
    <x:row r="70">
      <x:c r="A70" t="str">
        <x:v>C10K-068</x:v>
      </x:c>
      <x:c r="B70" t="str">
        <x:v>2026-05-10</x:v>
      </x:c>
      <x:c r="C70" t="str">
        <x:v>Codex10k</x:v>
      </x:c>
      <x:c r="D70" t="str">
        <x:v>mediar.ai / screenpipe bounty</x:v>
      </x:c>
      <x:c r="E70"/>
      <x:c r="F70" t="str">
        <x:v>Algora public bounty page</x:v>
      </x:c>
      <x:c r="G70" t="str">
        <x:v>https://algora.io/mediar-ai/bounties/community?fund=mediar-ai%2Fscreenpipe%231175</x:v>
      </x:c>
      <x:c r="H70" t="str">
        <x:v>Workflow bounty / invoice operations</x:v>
      </x:c>
      <x:c r="I70" t="str">
        <x:v>Current Algora board shows a live USD 100 bounty titled Create workflow: Supplier invoice reconciliation alongside related workflow tasks</x:v>
      </x:c>
      <x:c r="J70" t="str">
        <x:v>Supplier invoice reconciliation bounty</x:v>
      </x:c>
      <x:c r="K70" t="str">
        <x:v>monitor_only_qualified</x:v>
      </x:c>
      <x:c r="L70" t="str">
        <x:v>2026-05-10</x:v>
      </x:c>
      <x:c r="M70" t="str">
        <x:v>Manual follow-up only; verify acceptance criteria and keep effort below bounty value before taking it on</x:v>
      </x:c>
      <x:c r="N70" t="str">
        <x:v>2026-05-15</x:v>
      </x:c>
      <x:c r="O70" t="str">
        <x:v>docs/opportunity-log.md</x:v>
      </x:c>
      <x:c r="P70" t="str">
        <x:v>Small GitHub-style paid workflow opportunity rather than outreach lead</x:v>
      </x:c>
    </x:row>
    <x:row r="71">
      <x:c r="A71" t="str">
        <x:v>C10K-069</x:v>
      </x:c>
      <x:c r="B71" t="str">
        <x:v>2026-05-10</x:v>
      </x:c>
      <x:c r="C71" t="str">
        <x:v>Codex10k</x:v>
      </x:c>
      <x:c r="D71" t="str">
        <x:v>3D Walkabout / Tim Brickle</x:v>
      </x:c>
      <x:c r="E71" t="str">
        <x:v>tim@3dwalkabout.com.au</x:v>
      </x:c>
      <x:c r="F71" t="str">
        <x:v>Make Community public post / official company contact</x:v>
      </x:c>
      <x:c r="G71" t="str">
        <x:v>https://community.make.com/t/need-a-pro-to-help-with-hubspot-clickup-intergration/107582</x:v>
      </x:c>
      <x:c r="H71" t="str">
        <x:v>CRM / task automation</x:v>
      </x:c>
      <x:c r="I71" t="str">
        <x:v>April 17, 2026 Make Community post asks for an experienced Make specialist to build and stabilize HubSpot-to-ClickUp automations including deal-stage triggers, writebacks, duplicate prevention, correct filtering, and simplifying messy scenarios</x:v>
      </x:c>
      <x:c r="J71" t="str">
        <x:v>HubSpot-ClickUp reliability sprint</x:v>
      </x:c>
      <x:c r="K71" t="str">
        <x:v>contacted_fixed_scope</x:v>
      </x:c>
      <x:c r="L71" t="str">
        <x:v>2026-05-10</x:v>
      </x:c>
      <x:c r="M71" t="str">
        <x:v>Watch for reply; if positive, request current scenario, trigger stages, target ClickUp list, sample deals, and quote USD 1800 reliability sprint acceptance checklist</x:v>
      </x:c>
      <x:c r="N71" t="str">
        <x:v>2026-05-13</x:v>
      </x:c>
      <x:c r="O71" t="str">
        <x:v>gmail:19e0feb8882b174a; 3dwalkabout-hubspot-clickup.html; https://3dwalkabout.com.au/contact/; public company email evidence</x:v>
      </x:c>
      <x:c r="P71" t="str">
        <x:v>Sent fixed-scope USD 1800 HubSpot-ClickUp reliability sprint after live packet URL returned 200; constrain data handling to least-privilege or sample records because CRM data can contain customer/deal info</x:v>
      </x:c>
    </x:row>
    <x:row r="72">
      <x:c r="A72" t="str">
        <x:v>C10K-070</x:v>
      </x:c>
      <x:c r="B72" t="str">
        <x:v>2026-05-10</x:v>
      </x:c>
      <x:c r="C72" t="str">
        <x:v>Codex10k</x:v>
      </x:c>
      <x:c r="D72" t="str">
        <x:v>SnipeAgent / Alex T</x:v>
      </x:c>
      <x:c r="E72" t="str">
        <x:v>contact@snipeagent.ai</x:v>
      </x:c>
      <x:c r="F72" t="str">
        <x:v>Make Community public post</x:v>
      </x:c>
      <x:c r="G72" t="str">
        <x:v>https://community.make.com/t/make-com-expert-needed-ai-powered-sms-automation-system-full-build/106574</x:v>
      </x:c>
      <x:c r="H72" t="str">
        <x:v>SMS / MMS AI automation</x:v>
      </x:c>
      <x:c r="I72" t="str">
        <x:v>March 27, 2026 Make Community post asks for a fixed-price AI-powered SMS automation system with 6 scenarios, about 41 modules, Sinch SMS/MMS, Claude Haiku, Rainforest API, SerpApi, Carrd webhook, parallel API calls, MMS image handling, E.164 normalization, per-user processing locks, data stores, and re-engagement sequences</x:v>
      </x:c>
      <x:c r="J72" t="str">
        <x:v>SMS automation architecture pass and build</x:v>
      </x:c>
      <x:c r="K72" t="str">
        <x:v>contacted_fixed_scope</x:v>
      </x:c>
      <x:c r="L72" t="str">
        <x:v>2026-05-10</x:v>
      </x:c>
      <x:c r="M72" t="str">
        <x:v>Watch for reply; if positive, request NDA/full scope, test number/webhook path, API access rules, reply format, milestone demo expectations, and convert USD 400 architecture pass into payment request</x:v>
      </x:c>
      <x:c r="N72" t="str">
        <x:v>2026-05-13</x:v>
      </x:c>
      <x:c r="O72" t="str">
        <x:v>gmail:19e0ffab0e946f49; snipeagent-sms-automation.html; assets/snipeagent-sms-workflow-visual.png; https://community.make.com/t/make-com-expert-needed-ai-powered-sms-automation-system-full-build/106574</x:v>
      </x:c>
      <x:c r="P72" t="str">
        <x:v>Sent USD 400 architecture pass credited toward USD 2400 build after live packet returned 200; direct buyer email listed in the post; no unsolicited SMS or production phone data by email</x:v>
      </x:c>
    </x:row>
    <x:row r="73">
      <x:c r="A73" t="str">
        <x:v>C10K-071</x:v>
      </x:c>
      <x:c r="B73" t="str">
        <x:v>2026-05-10</x:v>
      </x:c>
      <x:c r="C73" t="str">
        <x:v>Codex10k</x:v>
      </x:c>
      <x:c r="D73" t="str">
        <x:v>Ferncliff Camp and Conference Center</x:v>
      </x:c>
      <x:c r="E73" t="str">
        <x:v>info@ferncliff.org</x:v>
      </x:c>
      <x:c r="F73" t="str">
        <x:v>Official RFP page</x:v>
      </x:c>
      <x:c r="G73" t="str">
        <x:v>https://ferncliff.org/about/jobs/rfps/</x:v>
      </x:c>
      <x:c r="H73" t="str">
        <x:v>Website / CMS launch QA</x:v>
      </x:c>
      <x:c r="I73" t="str">
        <x:v>May 2026 public RFP seeks website redesign and CMS support with user pathways, mobile-first design, accessibility expectations, and handoffs to CampBrain, DonorPerfect, Constant Contact, ADP, and Square; proposals due May 25, 2026</x:v>
      </x:c>
      <x:c r="J73" t="str">
        <x:v>Website launch QA and CMS handoff support</x:v>
      </x:c>
      <x:c r="K73" t="str">
        <x:v>duplicate_packet_do_not_send</x:v>
      </x:c>
      <x:c r="L73" t="str">
        <x:v>2026-05-10</x:v>
      </x:c>
      <x:c r="M73" t="str">
        <x:v>Do not send as a new outreach because Ferncliff was already contacted as C10K-039; use this page only if Ferncliff replies or asks for an updated support packet</x:v>
      </x:c>
      <x:c r="N73" t="str">
        <x:v>2026-05-15</x:v>
      </x:c>
      <x:c r="O73" t="str">
        <x:v>ferncliff-launch-qa-support.html; data/prospects.csv:C10K-039; https://ferncliff.org/about/jobs/rfps/</x:v>
      </x:c>
      <x:c r="P73" t="str">
        <x:v>Prepared public-safe support page, but dedupe found prior C10K-039 Gmail outreach to Kimberly/info; avoid duplicate procurement contact</x:v>
      </x:c>
    </x:row>
    <x:row r="74">
      <x:c r="A74" t="str">
        <x:v>C10K-072</x:v>
      </x:c>
      <x:c r="B74" t="str">
        <x:v>2026-05-10</x:v>
      </x:c>
      <x:c r="C74" t="str">
        <x:v>Codex10k</x:v>
      </x:c>
      <x:c r="D74" t="str">
        <x:v>Chek Creative / Josh</x:v>
      </x:c>
      <x:c r="E74" t="str">
        <x:v>hello@chekcreative.com</x:v>
      </x:c>
      <x:c r="F74" t="str">
        <x:v>Make Community public post / official contact page</x:v>
      </x:c>
      <x:c r="G74" t="str">
        <x:v>https://community.make.com/t/hiring-senior-make-com-automation-engineers-ongoing-contractor-work-75-95-hr/105775</x:v>
      </x:c>
      <x:c r="H74" t="str">
        <x:v>Agency automation partner work</x:v>
      </x:c>
      <x:c r="I74" t="str">
        <x:v>March 17, 2026 Make Community post says Chek Creative is building a senior Make.com automation bench for CRM, marketing ops, lead attribution, APIs, webhooks, CMS-related work, error handling, retries, logging, idempotency, and async-first client communication; official site lists hello@chekcreative.com</x:v>
      </x:c>
      <x:c r="J74" t="str">
        <x:v>Automation partner pilot</x:v>
      </x:c>
      <x:c r="K74" t="str">
        <x:v>contacted_fixed_scope</x:v>
      </x:c>
      <x:c r="L74" t="str">
        <x:v>2026-05-10</x:v>
      </x:c>
      <x:c r="M74" t="str">
        <x:v>Watch for reply; if positive, request one client-safe workflow brief, tools involved, source-of-truth app, sample payloads, documentation preference, and convert USD 1200 pilot into payment request</x:v>
      </x:c>
      <x:c r="N74" t="str">
        <x:v>2026-05-13</x:v>
      </x:c>
      <x:c r="O74" t="str">
        <x:v>gmail:19e10093fb4ce954; chek-automation-partner-pilot.html; https://www.chekcreative.com/contact/; https://community.make.com/t/hiring-senior-make-com-automation-engineers-ongoing-contractor-work-75-95-hr/105775</x:v>
      </x:c>
      <x:c r="P74" t="str">
        <x:v>Sent USD 1200 paid pilot after live packet returned 200; framed as paid pilot rather than job application; no client secrets or private workflows by email</x:v>
      </x:c>
    </x:row>
    <x:row r="75">
      <x:c r="A75" t="str">
        <x:v>C10K-073</x:v>
      </x:c>
      <x:c r="B75" t="str">
        <x:v>2026-05-10</x:v>
      </x:c>
      <x:c r="C75" t="str">
        <x:v>Codex10k</x:v>
      </x:c>
      <x:c r="D75" t="str">
        <x:v>Napa Valley Transportation Authority</x:v>
      </x:c>
      <x:c r="E75" t="str">
        <x:v>procurements@nvta.ca.gov; rcoombs@nvta.ca.gov</x:v>
      </x:c>
      <x:c r="F75" t="str">
        <x:v>Official RFQ page / RFQ PDF</x:v>
      </x:c>
      <x:c r="G75" t="str">
        <x:v>https://nvta.ca.gov/procurements/rfq-26-r08-for-ada-website-compliance/</x:v>
      </x:c>
      <x:c r="H75" t="str">
        <x:v>Website accessibility QA</x:v>
      </x:c>
      <x:c r="I75" t="str">
        <x:v>Official RFQ 26-R08 requests ADA website compliance support for NVTA.ca.gov and VineTransit.com against WCAG 2.2 AA; quotes due May 22, 2026 at 2:00 PM local time and inquiries/submissions go to procurements@nvta.ca.gov copy rcoombs@nvta.ca.gov</x:v>
      </x:c>
      <x:c r="J75" t="str">
        <x:v>ADA website QA sidecar quote</x:v>
      </x:c>
      <x:c r="K75" t="str">
        <x:v>contacted_fixed_scope</x:v>
      </x:c>
      <x:c r="L75" t="str">
        <x:v>2026-05-10</x:v>
      </x:c>
      <x:c r="M75" t="str">
        <x:v>Watch for procurement response; if positive, request priority URLs, representative PDFs/documents, preferred tracker format, remediation owner, and procurement/payment path</x:v>
      </x:c>
      <x:c r="N75" t="str">
        <x:v>2026-05-13</x:v>
      </x:c>
      <x:c r="O75" t="str">
        <x:v>gmail:19e101890b095ee2; nvta-ada-qa-sidecar.html; assets/nvta-ada-qa-visual.png; outputs/codex10k/nvta_ada_qa_sidecar_quote.pdf; https://nvta.ca.gov/wp-content/uploads/2026/04/RFQ-26-R08-ADA-Website-ComplianceFD.pdf</x:v>
      </x:c>
      <x:c r="P75" t="str">
        <x:v>Sent formal RFQ 26-R08 quote with USD 4800 limited QA/retest/staff-checklist sidecar and PDF attachment after live page returned 200; not legal certification or full remediation/maintenance prime</x:v>
      </x:c>
    </x:row>
    <x:row r="76">
      <x:c r="A76" t="str">
        <x:v>C10K-074</x:v>
      </x:c>
      <x:c r="B76" t="str">
        <x:v>2026-05-10</x:v>
      </x:c>
      <x:c r="C76" t="str">
        <x:v>Codex10k</x:v>
      </x:c>
      <x:c r="D76" t="str">
        <x:v>Town of Duck NC</x:v>
      </x:c>
      <x:c r="E76" t="str">
        <x:v>knickens@ducknc.gov</x:v>
      </x:c>
      <x:c r="F76" t="str">
        <x:v>Official RFP page / RFP PDF</x:v>
      </x:c>
      <x:c r="G76" t="str">
        <x:v>https://ducknc.gov/news/request-for-proposals-website-redesign-cms-implementation/</x:v>
      </x:c>
      <x:c r="H76" t="str">
        <x:v>Municipal website launch QA</x:v>
      </x:c>
      <x:c r="I76" t="str">
        <x:v>Official Town of Duck RFP issued April 23 2026 requests website redesign and CMS implementation with ADA, Section 508, WCAG 2.2 AA, automated scanning/reporting, content migration, searchable documents, analytics, staff training, security, hosting, and post-launch support; proposals due May 14 2026 at 5:00 PM EST and electronic submissions are acceptable</x:v>
      </x:c>
      <x:c r="J76" t="str">
        <x:v>Launch-QA accessibility and CMS handoff sidecar</x:v>
      </x:c>
      <x:c r="K76" t="str">
        <x:v>contacted_fixed_scope</x:v>
      </x:c>
      <x:c r="L76" t="str">
        <x:v>2026-05-10</x:v>
      </x:c>
      <x:c r="M76" t="str">
        <x:v>Watch for procurement response; if positive, request priority pages, representative PDFs/forms/events, staging access timing, preferred tracker format, remediation owner, and procurement/payment path</x:v>
      </x:c>
      <x:c r="N76" t="str">
        <x:v>2026-05-13</x:v>
      </x:c>
      <x:c r="O76" t="str">
        <x:v>gmail:19e10294ab3b5ab5; duck-ada-launch-qa-sidecar.html; outputs/codex10k/town_of_duck_launch_qa_sidecar_proposal.pdf; https://ducknc.gov/wp-content/uploads/2026/04/Town-of-Duck-Website-RFP-2026-04-23.pdf</x:v>
      </x:c>
      <x:c r="P76" t="str">
        <x:v>Sent USD 6800 limited launch-QA/accessibility/CMS handoff sidecar with PDF attachment after public page returned 200; not a full redesign bid, legal certification, hosting proposal, CMS license, or long-term maintenance contract</x:v>
      </x:c>
    </x:row>
    <x:row r="77">
      <x:c r="A77" t="str">
        <x:v>C10K-075</x:v>
      </x:c>
      <x:c r="B77" t="str">
        <x:v>2026-05-10</x:v>
      </x:c>
      <x:c r="C77" t="str">
        <x:v>Codex10k</x:v>
      </x:c>
      <x:c r="D77" t="str">
        <x:v>Ely Area Tourism Bureau / Ely Chamber of Commerce</x:v>
      </x:c>
      <x:c r="E77" t="str">
        <x:v>jess@rootbeerlady.com</x:v>
      </x:c>
      <x:c r="F77" t="str">
        <x:v>Official RFP page / RFP PDF</x:v>
      </x:c>
      <x:c r="G77" t="str">
        <x:v>https://www.ely.org/rfp/</x:v>
      </x:c>
      <x:c r="H77" t="str">
        <x:v>Tourism CMS migration QA</x:v>
      </x:c>
      <x:c r="I77" t="str">
        <x:v>Official Ely RFP requests website redesign and content migration from Simpleview with 50-70 pages, business/member directory data, listings, forms, online shop, SEO preservation, analytics, WCAG 2.1 AA accessibility, CMS training, QA, launch support, and 90-day post-launch support; proposals due May 11 2026</x:v>
      </x:c>
      <x:c r="J77" t="str">
        <x:v>Migration QA directory readiness and launch support slice</x:v>
      </x:c>
      <x:c r="K77" t="str">
        <x:v>contacted_fixed_scope</x:v>
      </x:c>
      <x:c r="L77" t="str">
        <x:v>2026-05-10</x:v>
      </x:c>
      <x:c r="M77" t="str">
        <x:v>Watch for RFP response; if positive, request current crawl/export, representative listing export, staging/vendor timeline, preferred tracker format, and procurement/payment path</x:v>
      </x:c>
      <x:c r="N77" t="str">
        <x:v>2026-05-13</x:v>
      </x:c>
      <x:c r="O77" t="str">
        <x:v>gmail:19e1037e9f166d0a; ely-migration-qa-sidecar.html; outputs/codex10k/ely_migration_qa_launch_readiness_proposal.pdf; https://assets.simpleviewinc.com/simpleview/image/upload/v1/clients/elymn/Request_for_Proposal_Website_Development_Content_Migration_2__3348aec4-e026-4d13-84d5-183b749bb1ab.pdf</x:v>
      </x:c>
      <x:c r="P77" t="str">
        <x:v>Sent USD 12500 limited migration-QA/directory-readiness/launch-support sidecar with PDF attachment after public page returned 200; not a full redesign-prime proposal, hosting proposal, CMS license, legal accessibility certification, or ongoing maintenance contract</x:v>
      </x:c>
    </x:row>
    <x:row r="78">
      <x:c r="A78" t="str">
        <x:v>C10K-076</x:v>
      </x:c>
      <x:c r="B78" t="str">
        <x:v>2026-05-10</x:v>
      </x:c>
      <x:c r="C78" t="str">
        <x:v>Codex10k</x:v>
      </x:c>
      <x:c r="D78" t="str">
        <x:v>Superior Court of California County of Placer</x:v>
      </x:c>
      <x:c r="E78"/>
      <x:c r="F78" t="str">
        <x:v>Bonfire portal / public procurement mirror</x:v>
      </x:c>
      <x:c r="G78" t="str">
        <x:v>https://lacourt.bonfirehub.com/portal/?tab=openOpportunities</x:v>
      </x:c>
      <x:c r="H78" t="str">
        <x:v>Power BI dashboard modernization</x:v>
      </x:c>
      <x:c r="I78" t="str">
        <x:v>Public Bonfire/GovTribe sources for SP-2026-0010 say Placer Court seeks Power BI development services to update rebuild and modernize about 20 existing dashboards across court operational data including eCourt Tyler jury and internal sources; Bonfire close is May 13 2026 at 5:00 PM Pacific</x:v>
      </x:c>
      <x:c r="J78" t="str">
        <x:v>Power BI dashboard modernization QA/UAT support</x:v>
      </x:c>
      <x:c r="K78" t="str">
        <x:v>prepared_portal_packet</x:v>
      </x:c>
      <x:c r="L78" t="str">
        <x:v>2026-05-10</x:v>
      </x:c>
      <x:c r="M78" t="str">
        <x:v>Portal-only path; use prepared packet only through Bonfire or selected-vendor/subcontract path after reviewing required forms, insurance/vendor requirements, AI disclosure, and submission checklist; do not send casual email</x:v>
      </x:c>
      <x:c r="N78" t="str">
        <x:v>2026-05-12</x:v>
      </x:c>
      <x:c r="O78" t="str">
        <x:v>placer-powerbi-qa-sidecar.html; outputs/codex10k/placer_powerbi_qa_uat_sidecar_proposal.pdf; docs/placer-bonfire-submission-notes.md; https://www.placer.courts.ca.gov/general-information/procurement; https://lacourt.bonfirehub.com/portal/?tab=openOpportunities; https://govtribe.com/opportunity/state-local-contract-opportunity/sp-2026-0010-power-bi-development-services-for-placer-court-sp20260010</x:v>
      </x:c>
      <x:c r="P78" t="str">
        <x:v>Non-n8n analytics/data lane; prepared USD 18500 Power BI QA/UAT/data-validation/handoff sidecar. Likely requires Bonfire account, formal portal response, business licensing, insurance, and procurement forms; best as portal-ready packet or selected-vendor/subcontract support</x:v>
      </x:c>
    </x:row>
    <x:row r="79">
      <x:c r="A79" t="str">
        <x:v>C10K-077</x:v>
      </x:c>
      <x:c r="B79" t="str">
        <x:v>2026-05-10</x:v>
      </x:c>
      <x:c r="C79" t="str">
        <x:v>Codex10k</x:v>
      </x:c>
      <x:c r="D79" t="str">
        <x:v>Railroad Commission of Texas</x:v>
      </x:c>
      <x:c r="E79" t="str">
        <x:v>reese.miller@rrc.texas.gov</x:v>
      </x:c>
      <x:c r="F79" t="str">
        <x:v>TxSmartBuy ESBD / RRC solicitations</x:v>
      </x:c>
      <x:c r="G79" t="str">
        <x:v>https://www.txsmartbuy.gov/esbd/455-26-1018</x:v>
      </x:c>
      <x:c r="H79" t="str">
        <x:v>Salesforce implementation QA</x:v>
      </x:c>
      <x:c r="I79" t="str">
        <x:v>Public RFO materials for 455-26-1018 say RRC seeks Salesforce and tools implementation services and support across requirements, Salesforce configuration/development, data migration, integrations, testing, UAT, accessibility, training, documentation, and release support; responses due May 19 2026 at 2:00 PM Central</x:v>
      </x:c>
      <x:c r="J79" t="str">
        <x:v>Salesforce QA/UAT migration-validation support slice</x:v>
      </x:c>
      <x:c r="K79" t="str">
        <x:v>prepared_subcontract_packet</x:v>
      </x:c>
      <x:c r="L79" t="str">
        <x:v>2026-05-10</x:v>
      </x:c>
      <x:c r="M79" t="str">
        <x:v>Do not send as casual outreach; use prepared USD 22500 support packet only through a qualified prime/subcontract path or formally approved response workflow after reviewing mandatory forms, Texas authorization, HSP/VetHUB, insurance, pricing worksheet, and AI disclosure requirements</x:v>
      </x:c>
      <x:c r="N79" t="str">
        <x:v>2026-05-13</x:v>
      </x:c>
      <x:c r="O79" t="str">
        <x:v>rrc-salesforce-qa-sidecar.html; outputs/codex10k/rrc_salesforce_qa_support_slice_proposal.pdf; docs/rrc-salesforce-subcontract-notes.md; https://www.txsmartbuy.gov/esbd/455-26-1018</x:v>
      </x:c>
      <x:c r="P79" t="str">
        <x:v>Non-n8n public-sector Salesforce/data migration lane; best angle is named specialist support for requirements traceability, migration QA, UAT scripts, regression/accessibility checks, Jira/Copado release evidence, documentation, and training handoff beside a compliant prime</x:v>
      </x:c>
    </x:row>
    <x:row r="80">
      <x:c r="A80" t="str">
        <x:v>C10K-078</x:v>
      </x:c>
      <x:c r="B80" t="str">
        <x:v>2026-05-10</x:v>
      </x:c>
      <x:c r="C80" t="str">
        <x:v>Codex10k</x:v>
      </x:c>
      <x:c r="D80" t="str">
        <x:v>Missouri State Public Defender</x:v>
      </x:c>
      <x:c r="E80" t="str">
        <x:v>procurement@mspd.mo.gov</x:v>
      </x:c>
      <x:c r="F80" t="str">
        <x:v>MissouriBUYS / MOVERS / public procurement mirror</x:v>
      </x:c>
      <x:c r="G80" t="str">
        <x:v>https://missouribuys.mo.gov/bid-board/movers</x:v>
      </x:c>
      <x:c r="H80" t="str">
        <x:v>Case-management migration QA</x:v>
      </x:c>
      <x:c r="I80" t="str">
        <x:v>Public summaries for MSPD 0000000003SL describe an Integrated Public Defense Management System covering case management, portals, integrations, workflow automation, analytics, document intelligence, HCL Notes/Domino migration, UAT, training, and stabilization; responses due June 30 2026 at 5:00 PM Central through MissouriBUYS/MOVERS</x:v>
      </x:c>
      <x:c r="J80" t="str">
        <x:v>Migration QA/UAT stabilization support slice</x:v>
      </x:c>
      <x:c r="K80" t="str">
        <x:v>prepared_portal_packet</x:v>
      </x:c>
      <x:c r="L80" t="str">
        <x:v>2026-05-10</x:v>
      </x:c>
      <x:c r="M80" t="str">
        <x:v>Do not send as casual outreach; use prepared USD 28500 support packet only through MissouriBUYS/MOVERS, a qualified prime/subcontract path, or formally approved procurement workflow after reviewing supplier registration, required exhibits, insurance/security obligations, pricing schedules, and AI/disclosure requirements</x:v>
      </x:c>
      <x:c r="N80" t="str">
        <x:v>2026-05-20</x:v>
      </x:c>
      <x:c r="O80" t="str">
        <x:v>mspd-case-migration-qa-sidecar.html; outputs/codex10k/mspd_case_migration_qa_support_slice_proposal.pdf; docs/mspd-case-management-subcontract-notes.md; https://govtribe.com/opportunity/state-local-contract-opportunity/request-for-proposal-rfp-for-an-integrated-public-defense-management-system-300000235023766; https://missouribuys.mo.gov/bid-board/movers</x:v>
      </x:c>
      <x:c r="P80" t="str">
        <x:v>Non-n8n public-sector migration lane; best angle is named specialist support for legacy migration QA, requirements traceability, UAT scripts, defect retest, reporting readiness, cutover evidence, and stabilization beside a compliant prime</x:v>
      </x:c>
    </x:row>
    <x:row r="81">
      <x:c r="A81" t="str">
        <x:v>C10K-079</x:v>
      </x:c>
      <x:c r="B81" t="str">
        <x:v>2026-05-10</x:v>
      </x:c>
      <x:c r="C81" t="str">
        <x:v>Codex10k</x:v>
      </x:c>
      <x:c r="D81" t="str">
        <x:v>Hiawatha Academies</x:v>
      </x:c>
      <x:c r="E81" t="str">
        <x:v>kgroves@hiawathaacademies.org</x:v>
      </x:c>
      <x:c r="F81" t="str">
        <x:v>Official RFQ page / RFQ PDF</x:v>
      </x:c>
      <x:c r="G81" t="str">
        <x:v>https://www.hiawathaacademies.org/apps/pages/index.jsp?uREC_ID=2019187&amp;type=d&amp;pREC_ID=2642881</x:v>
      </x:c>
      <x:c r="H81" t="str">
        <x:v>School website multilingual accessibility QA</x:v>
      </x:c>
      <x:c r="I81" t="str">
        <x:v>Official RFQ issued April 15 2026 requests website redesign development hosting and implementation for a charter school network serving about 1600 students, with WCAG 2.1 A/AA, mobile responsiveness, English/Spanish/Somali support, content migration, recruitment, family engagement, and communications; proposals due May 15 2026 at 11:59 PM</x:v>
      </x:c>
      <x:c r="J81" t="str">
        <x:v>Multilingual/accessibility/content-migration launch QA sidecar</x:v>
      </x:c>
      <x:c r="K81" t="str">
        <x:v>contacted_fixed_scope</x:v>
      </x:c>
      <x:c r="L81" t="str">
        <x:v>2026-05-10</x:v>
      </x:c>
      <x:c r="M81" t="str">
        <x:v>Watch for RFQ response/confirmation; if positive, request staging/vendor timeline, representative URLs/templates, language sample paths, preferred tracker format, and procurement/payment path</x:v>
      </x:c>
      <x:c r="N81" t="str">
        <x:v>2026-05-13</x:v>
      </x:c>
      <x:c r="O81" t="str">
        <x:v>gmail:19e104c1b35de655; hiawatha-school-website-qa-sidecar.html; outputs/codex10k/hiawatha_school_website_qa_sidecar_proposal.pdf; https://www.hiawathaacademies.org/apps/pages/index.jsp?uREC_ID=2019187&amp;type=d&amp;pREC_ID=2642881</x:v>
      </x:c>
      <x:c r="P81" t="str">
        <x:v>Sent USD 12000 limited multilingual/accessibility/content-migration QA sidecar with PDF attachment after cadence gate returned allowed and public page/PDF returned 200; not a full redesign-prime proposal, hosting proposal, CMS license, legal accessibility certification, or long-term maintenance contract</x:v>
      </x:c>
    </x:row>
    <x:row r="82">
      <x:c r="A82" t="str">
        <x:v>C10K-080</x:v>
      </x:c>
      <x:c r="B82" t="str">
        <x:v>2026-05-10</x:v>
      </x:c>
      <x:c r="C82" t="str">
        <x:v>Codex10k</x:v>
      </x:c>
      <x:c r="D82" t="str">
        <x:v>Baxter State Park Authority</x:v>
      </x:c>
      <x:c r="E82" t="str">
        <x:v>nava.tabak@baxterstatepark.org</x:v>
      </x:c>
      <x:c r="F82" t="str">
        <x:v>Official RFP PDF / electronic proposal email</x:v>
      </x:c>
      <x:c r="G82" t="str">
        <x:v>https://baxterstatepark.org/wp-content/uploads/2026/04/BSP-Request-for-Proposals-for-web-design-host-maintain-Apr-2026.docx.pdf</x:v>
      </x:c>
      <x:c r="H82" t="str">
        <x:v>State park website launch QA</x:v>
      </x:c>
      <x:c r="I82" t="str">
        <x:v>Official April 6 2026 RFP requests design of a new website plus hosting and technical maintenance with approximately 45 pages, ecommerce, search, semantic tags, ADA Title II web/mobile accessibility, responsive design, pre-production environment, CMS, transition support, performance testing, owner rights, and 365-day support models; electronic proposals due May 20 2026 to Nava Tabak</x:v>
      </x:c>
      <x:c r="J82" t="str">
        <x:v>ADA/migration/performance/launch-readiness QA sidecar</x:v>
      </x:c>
      <x:c r="K82" t="str">
        <x:v>contacted_fixed_scope</x:v>
      </x:c>
      <x:c r="L82" t="str">
        <x:v>2026-05-10</x:v>
      </x:c>
      <x:c r="M82" t="str">
        <x:v>Watch for RFP response/addenda registration; if positive, request procurement path, staging/vendor timeline, proposed structure, representative ecommerce/forms/search paths, preferred tracker format, and payment path</x:v>
      </x:c>
      <x:c r="N82" t="str">
        <x:v>2026-05-13</x:v>
      </x:c>
      <x:c r="O82" t="str">
        <x:v>gmail:19e10a5e7c318c9b; baxter-website-launch-qa-sidecar.html; outputs/codex10k/baxter_website_launch_qa_sidecar_proposal.pdf; https://anonymusk7.github.io/codex10k-workflow-recovery/baxter-website-launch-qa-sidecar.html?v=baxter1</x:v>
      </x:c>
      <x:c r="P82" t="str">
        <x:v>Sent USD 8500 limited ADA/migration/performance/launch-readiness QA sidecar with PDF attachment after cadence gate returned allowed and public page/PDF returned 200; not a full design-prime proposal, hosting proposal, CMS license, legal accessibility certification, or long-term maintenance contract</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Assumption</x:v>
      </x:c>
      <x:c r="B1" t="str">
        <x:v>Value</x:v>
      </x:c>
      <x:c r="C1" t="str">
        <x:v>Source</x:v>
      </x:c>
      <x:c r="D1" t="str">
        <x:v>Notes</x:v>
      </x:c>
    </x:row>
    <x:row r="2">
      <x:c r="A2" t="str">
        <x:v>Stripe U.S. domestic card fee</x:v>
      </x:c>
      <x:c r="B2" t="str">
        <x:v>2.9% + $0.30</x:v>
      </x:c>
      <x:c r="C2" t="str">
        <x:v>https://stripe.com/us/pricing</x:v>
      </x:c>
      <x:c r="D2" t="str">
        <x:v>Use actual fee evidence when available</x:v>
      </x:c>
    </x:row>
    <x:row r="3">
      <x:c r="A3" t="str">
        <x:v>Upwork freelancer service fee</x:v>
      </x:c>
      <x:c r="B3" t="str">
        <x:v>0%-15%</x:v>
      </x:c>
      <x:c r="C3" t="str">
        <x:v>https://support.upwork.com/hc/en-us/articles/211062538-Freelancer-Service-Fee</x:v>
      </x:c>
      <x:c r="D3" t="str">
        <x:v>Varies by contract</x:v>
      </x:c>
    </x:row>
    <x:row r="4">
      <x:c r="A4" t="str">
        <x:v>Upwork Connects</x:v>
      </x:c>
      <x:c r="B4" t="str">
        <x:v>$0.15 each</x:v>
      </x:c>
      <x:c r="C4" t="str">
        <x:v>https://support.upwork.com/hc/en-us/articles/34955398999699-Connects</x:v>
      </x:c>
      <x:c r="D4" t="str">
        <x:v>Treat as direct cost if used</x:v>
      </x:c>
    </x:row>
    <x:row r="5">
      <x:c r="A5" t="str">
        <x:v>Cold commercial email</x:v>
      </x:c>
      <x:c r="B5" t="str">
        <x:v>Requires CAN-SPAM compliance</x:v>
      </x:c>
      <x:c r="C5" t="str">
        <x:v>https://www.ftc.gov/business-guidance/resources/can-spam-act-compliance-guide-business</x:v>
      </x:c>
      <x:c r="D5" t="str">
        <x:v>Avoid cold email until postal address is available</x:v>
      </x:c>
    </x:row>
    <x:row r="6">
      <x:c r="A6" t="str">
        <x:v>Primary channel</x:v>
      </x:c>
      <x:c r="B6" t="str">
        <x:v>Public hiring posts + communities</x:v>
      </x:c>
      <x:c r="C6" t="str">
        <x:v>docs/research.md</x:v>
      </x:c>
      <x:c r="D6" t="str">
        <x:v>Buyer-intent first</x:v>
      </x:c>
    </x:row>
    <x:row r="7">
      <x:c r="A7" t="str">
        <x:v>Primary price</x:v>
      </x:c>
      <x:c r="B7" t="str">
        <x:v>$4,800-$7,500</x:v>
      </x:c>
      <x:c r="C7" t="str">
        <x:v>docs/offer.md</x:v>
      </x:c>
      <x:c r="D7" t="str">
        <x:v>Fixed-scope sprint</x:v>
      </x:c>
    </x:row>
    <x:row r="8">
      <x:c r="A8" t="str">
        <x:v>Retainer</x:v>
      </x:c>
      <x:c r="B8" t="str">
        <x:v>$750-$1,500/mo</x:v>
      </x:c>
      <x:c r="C8" t="str">
        <x:v>docs/offer.md</x:v>
      </x:c>
      <x:c r="D8" t="str">
        <x:v>Optional after launch</x:v>
      </x:c>
    </x:row>
    <x:row r="9">
      <x:c r="A9" t="str">
        <x:v>Direct costs policy</x:v>
      </x:c>
      <x:c r="B9" t="str">
        <x:v>Approved before use</x:v>
      </x:c>
      <x:c r="C9" t="str">
        <x:v>docs/payment-flow.md</x:v>
      </x:c>
      <x:c r="D9" t="str">
        <x:v>Subtract all costs from net profit</x:v>
      </x:c>
    </x:row>
  </x:sheetData>
  <x:pageMargins left="0.7" right="0.7" top="0.75" bottom="0.75" header="0.3" footer="0.3"/>
</x:worksheet>
</file>